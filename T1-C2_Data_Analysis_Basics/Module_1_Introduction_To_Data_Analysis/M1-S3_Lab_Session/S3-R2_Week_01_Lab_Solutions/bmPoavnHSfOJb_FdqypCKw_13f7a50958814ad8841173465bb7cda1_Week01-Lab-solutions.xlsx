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eek01-problem1" sheetId="1" state="visible" r:id="rId2"/>
    <sheet name="week01-problem2" sheetId="2" state="visible" r:id="rId3"/>
    <sheet name="week01-problem3" sheetId="3" state="visible" r:id="rId4"/>
    <sheet name="week01-problem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<sst xmlns="http://schemas.openxmlformats.org/spreadsheetml/2006/main" count="134" uniqueCount="82">
  <si>
    <t xml:space="preserve">Weightage</t>
  </si>
  <si>
    <t xml:space="preserve">Homework</t>
  </si>
  <si>
    <t xml:space="preserve">Exam</t>
  </si>
  <si>
    <t xml:space="preserve">Roll Number</t>
  </si>
  <si>
    <t xml:space="preserve">Homework 1</t>
  </si>
  <si>
    <t xml:space="preserve">Homework 2</t>
  </si>
  <si>
    <t xml:space="preserve">Homework 3</t>
  </si>
  <si>
    <t xml:space="preserve">Homework 4</t>
  </si>
  <si>
    <t xml:space="preserve">Homework 5</t>
  </si>
  <si>
    <t xml:space="preserve">Homeworks Average
 (out of 100)</t>
  </si>
  <si>
    <t xml:space="preserve">Exam 1</t>
  </si>
  <si>
    <t xml:space="preserve">Exam 2</t>
  </si>
  <si>
    <t xml:space="preserve">Exam 3</t>
  </si>
  <si>
    <t xml:space="preserve">Exams Average 
(out of 100)</t>
  </si>
  <si>
    <t xml:space="preserve">Total marks
(out of 100)</t>
  </si>
  <si>
    <t xml:space="preserve">Person ID</t>
  </si>
  <si>
    <t xml:space="preserve">Height (in centimeters)</t>
  </si>
  <si>
    <t xml:space="preserve">Weight (in grams)</t>
  </si>
  <si>
    <t xml:space="preserve">BMI</t>
  </si>
  <si>
    <t xml:space="preserve">Given Height of person in centimeters, weight of person in grams, compute Body Mass Index (BMI). Where BMI = 703 * weight/(height * height). Where weight is in Kilograms and height is in meters</t>
  </si>
  <si>
    <t xml:space="preserve">Input 1</t>
  </si>
  <si>
    <t xml:space="preserve">Input 2</t>
  </si>
  <si>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</si>
  <si>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</si>
  <si>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</si>
  <si>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</si>
  <si>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</si>
  <si>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</si>
  <si>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</si>
  <si>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</si>
  <si>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</si>
  <si>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</si>
  <si>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</si>
  <si>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</si>
  <si>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</si>
  <si>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</si>
  <si>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</si>
  <si>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</si>
  <si>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</si>
  <si>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</si>
  <si>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</si>
  <si>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</si>
  <si>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</si>
  <si>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</si>
  <si>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</si>
  <si>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</si>
  <si>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</si>
  <si>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</si>
  <si>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</si>
  <si>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</si>
  <si>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</si>
  <si>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</si>
  <si>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</si>
  <si>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</si>
  <si>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</si>
  <si>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</si>
  <si>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</si>
  <si>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</si>
  <si>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</si>
  <si>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</si>
  <si>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</si>
  <si>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</si>
  <si>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</si>
  <si>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</si>
  <si>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</si>
  <si>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</si>
  <si>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</si>
  <si>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</si>
  <si>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</si>
  <si>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</si>
  <si>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</si>
  <si>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</si>
  <si>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</si>
  <si>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Initial number of fish</t>
  </si>
  <si>
    <t xml:space="preserve">Number of births per fish
(birth rate)</t>
  </si>
  <si>
    <t xml:space="preserve">Number of deaths per fish
(death rate)</t>
  </si>
  <si>
    <t xml:space="preserve">Maximum number of fish 
harvested fish per year</t>
  </si>
  <si>
    <t xml:space="preserve">Year</t>
  </si>
  <si>
    <t xml:space="preserve">Births</t>
  </si>
  <si>
    <t xml:space="preserve">Deaths</t>
  </si>
  <si>
    <t xml:space="preserve">Harvested 
Fish</t>
  </si>
  <si>
    <t xml:space="preserve">Fish at the 
end of year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</si>
</sst>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0"/>
      <charset val="1"/>
    </font>
    <font>
      <sz val="11"/>
      <color rgb="FFC921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K27" activeCellId="0" sqref="K27"/>
    </sheetView>
  </sheetViews>
  <sheetFormatPr defaultColWidth="8.5390625" defaultRowHeight="15" zeroHeight="false" outlineLevelRow="0" outlineLevelCol="0"/>
  <cols>
    <col collapsed="false" customWidth="true" hidden="false" outlineLevel="0" max="4" min="2" style="0" width="12.43"/>
    <col collapsed="false" customWidth="true" hidden="false" outlineLevel="0" max="5" min="5" style="0" width="12.28"/>
    <col collapsed="false" customWidth="true" hidden="false" outlineLevel="0" max="6" min="6" style="0" width="12.43"/>
    <col collapsed="false" customWidth="true" hidden="false" outlineLevel="0" max="7" min="7" style="0" width="21.71"/>
    <col collapsed="false" customWidth="true" hidden="false" outlineLevel="0" max="11" min="11" style="0" width="20.76"/>
    <col collapsed="false" customWidth="true" hidden="false" outlineLevel="0" max="12" min="12" style="0" width="21.83"/>
  </cols>
  <sheetData>
    <row r="1" customFormat="false" ht="15" hidden="false" customHeight="false" outlineLevel="0" collapsed="false">
      <c r="F1" s="1" t="s">
        <v>0</v>
      </c>
    </row>
    <row r="2" customFormat="false" ht="15" hidden="false" customHeight="false" outlineLevel="0" collapsed="false">
      <c r="E2" s="2" t="s">
        <v>1</v>
      </c>
      <c r="F2" s="3" t="n">
        <v>0.25</v>
      </c>
    </row>
    <row r="3" customFormat="false" ht="15" hidden="false" customHeight="false" outlineLevel="0" collapsed="false">
      <c r="E3" s="4" t="s">
        <v>2</v>
      </c>
      <c r="F3" s="5" t="n">
        <v>0.75</v>
      </c>
    </row>
    <row r="5" s="11" customFormat="true" ht="30.75" hidden="false" customHeight="false" outlineLevel="0" collapsed="false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7" t="s">
        <v>10</v>
      </c>
      <c r="I5" s="7" t="s">
        <v>11</v>
      </c>
      <c r="J5" s="7" t="s">
        <v>12</v>
      </c>
      <c r="K5" s="9" t="s">
        <v>13</v>
      </c>
      <c r="L5" s="10" t="s">
        <v>14</v>
      </c>
    </row>
    <row r="6" customFormat="false" ht="13.8" hidden="false" customHeight="false" outlineLevel="0" collapsed="false">
      <c r="A6" s="12" t="n">
        <v>120</v>
      </c>
      <c r="B6" s="13" t="n">
        <v>1</v>
      </c>
      <c r="C6" s="13" t="n">
        <v>19</v>
      </c>
      <c r="D6" s="13" t="n">
        <v>15</v>
      </c>
      <c r="E6" s="13" t="n">
        <v>18</v>
      </c>
      <c r="F6" s="13" t="n">
        <v>4</v>
      </c>
      <c r="G6" s="13" t="n">
        <f aca="false">AVERAGE(B6:F6)*4</f>
        <v>45.6</v>
      </c>
      <c r="H6" s="13" t="n">
        <v>87</v>
      </c>
      <c r="I6" s="13" t="n">
        <v>80</v>
      </c>
      <c r="J6" s="13" t="n">
        <v>63</v>
      </c>
      <c r="K6" s="14" t="n">
        <f aca="false">AVERAGE(H6:J6)</f>
        <v>76.6666666666667</v>
      </c>
      <c r="L6" s="15" t="n">
        <f aca="false">SUM(G6*0.25,K6*0.75)</f>
        <v>68.9</v>
      </c>
    </row>
    <row r="7" customFormat="false" ht="13.8" hidden="false" customHeight="false" outlineLevel="0" collapsed="false">
      <c r="A7" s="12" t="n">
        <v>121</v>
      </c>
      <c r="B7" s="13" t="n">
        <v>24</v>
      </c>
      <c r="C7" s="13" t="n">
        <v>12</v>
      </c>
      <c r="D7" s="13" t="n">
        <v>7</v>
      </c>
      <c r="E7" s="13" t="n">
        <v>7</v>
      </c>
      <c r="F7" s="13" t="n">
        <v>9</v>
      </c>
      <c r="G7" s="13" t="n">
        <f aca="false">AVERAGE(B7:F7)*4</f>
        <v>47.2</v>
      </c>
      <c r="H7" s="13" t="n">
        <v>42</v>
      </c>
      <c r="I7" s="13" t="n">
        <v>92</v>
      </c>
      <c r="J7" s="13" t="n">
        <v>22</v>
      </c>
      <c r="K7" s="14" t="n">
        <f aca="false">AVERAGE(H7:J7)</f>
        <v>52</v>
      </c>
      <c r="L7" s="15" t="n">
        <f aca="false">SUM(G7*0.25,K7*0.75)</f>
        <v>50.8</v>
      </c>
    </row>
    <row r="8" customFormat="false" ht="13.8" hidden="false" customHeight="false" outlineLevel="0" collapsed="false">
      <c r="A8" s="12" t="n">
        <v>122</v>
      </c>
      <c r="B8" s="13" t="n">
        <v>19</v>
      </c>
      <c r="C8" s="13" t="n">
        <v>4</v>
      </c>
      <c r="D8" s="13" t="n">
        <v>13</v>
      </c>
      <c r="E8" s="13" t="n">
        <v>15</v>
      </c>
      <c r="F8" s="13" t="n">
        <v>24</v>
      </c>
      <c r="G8" s="13" t="n">
        <f aca="false">AVERAGE(B8:F8)*4</f>
        <v>60</v>
      </c>
      <c r="H8" s="13" t="n">
        <v>44</v>
      </c>
      <c r="I8" s="13" t="n">
        <v>32</v>
      </c>
      <c r="J8" s="13" t="n">
        <v>30</v>
      </c>
      <c r="K8" s="14" t="n">
        <f aca="false">AVERAGE(H8:J8)</f>
        <v>35.3333333333333</v>
      </c>
      <c r="L8" s="15" t="n">
        <f aca="false">SUM(G8*0.25,K8*0.75)</f>
        <v>41.5</v>
      </c>
    </row>
    <row r="9" customFormat="false" ht="13.8" hidden="false" customHeight="false" outlineLevel="0" collapsed="false">
      <c r="A9" s="12" t="n">
        <v>123</v>
      </c>
      <c r="B9" s="13" t="n">
        <v>18</v>
      </c>
      <c r="C9" s="13" t="n">
        <v>18</v>
      </c>
      <c r="D9" s="13" t="n">
        <v>13</v>
      </c>
      <c r="E9" s="13" t="n">
        <v>11</v>
      </c>
      <c r="F9" s="13" t="n">
        <v>4</v>
      </c>
      <c r="G9" s="13" t="n">
        <f aca="false">AVERAGE(B9:F9)*4</f>
        <v>51.2</v>
      </c>
      <c r="H9" s="13" t="n">
        <v>12</v>
      </c>
      <c r="I9" s="13" t="n">
        <v>17</v>
      </c>
      <c r="J9" s="13" t="n">
        <v>69</v>
      </c>
      <c r="K9" s="14" t="n">
        <f aca="false">AVERAGE(H9:J9)</f>
        <v>32.6666666666667</v>
      </c>
      <c r="L9" s="15" t="n">
        <f aca="false">SUM(G9*0.25,K9*0.75)</f>
        <v>37.3</v>
      </c>
    </row>
    <row r="10" customFormat="false" ht="13.8" hidden="false" customHeight="false" outlineLevel="0" collapsed="false">
      <c r="A10" s="12" t="n">
        <v>124</v>
      </c>
      <c r="B10" s="13" t="n">
        <v>20</v>
      </c>
      <c r="C10" s="13" t="n">
        <v>24</v>
      </c>
      <c r="D10" s="13" t="n">
        <v>14</v>
      </c>
      <c r="E10" s="13" t="n">
        <v>24</v>
      </c>
      <c r="F10" s="13" t="n">
        <v>1</v>
      </c>
      <c r="G10" s="13" t="n">
        <f aca="false">AVERAGE(B10:F10)*4</f>
        <v>66.4</v>
      </c>
      <c r="H10" s="13" t="n">
        <v>32</v>
      </c>
      <c r="I10" s="13" t="n">
        <v>23</v>
      </c>
      <c r="J10" s="13" t="n">
        <v>63</v>
      </c>
      <c r="K10" s="14" t="n">
        <f aca="false">AVERAGE(H10:J10)</f>
        <v>39.3333333333333</v>
      </c>
      <c r="L10" s="15" t="n">
        <f aca="false">SUM(G10*0.25,K10*0.75)</f>
        <v>46.1</v>
      </c>
    </row>
    <row r="11" customFormat="false" ht="13.8" hidden="false" customHeight="false" outlineLevel="0" collapsed="false">
      <c r="A11" s="12" t="n">
        <v>125</v>
      </c>
      <c r="B11" s="13" t="n">
        <v>6</v>
      </c>
      <c r="C11" s="13" t="n">
        <v>7</v>
      </c>
      <c r="D11" s="13" t="n">
        <v>3</v>
      </c>
      <c r="E11" s="13" t="n">
        <v>24</v>
      </c>
      <c r="F11" s="13" t="n">
        <v>17</v>
      </c>
      <c r="G11" s="13" t="n">
        <f aca="false">AVERAGE(B11:F11)*4</f>
        <v>45.6</v>
      </c>
      <c r="H11" s="13" t="n">
        <v>71</v>
      </c>
      <c r="I11" s="13" t="n">
        <v>67</v>
      </c>
      <c r="J11" s="13" t="n">
        <v>73</v>
      </c>
      <c r="K11" s="14" t="n">
        <f aca="false">AVERAGE(H11:J11)</f>
        <v>70.3333333333333</v>
      </c>
      <c r="L11" s="15" t="n">
        <f aca="false">SUM(G11*0.25,K11*0.75)</f>
        <v>64.15</v>
      </c>
    </row>
    <row r="12" customFormat="false" ht="13.8" hidden="false" customHeight="false" outlineLevel="0" collapsed="false">
      <c r="A12" s="12" t="n">
        <v>126</v>
      </c>
      <c r="B12" s="13" t="n">
        <v>10</v>
      </c>
      <c r="C12" s="13" t="n">
        <v>16</v>
      </c>
      <c r="D12" s="13" t="n">
        <v>21</v>
      </c>
      <c r="E12" s="13" t="n">
        <v>6</v>
      </c>
      <c r="F12" s="13" t="n">
        <v>4</v>
      </c>
      <c r="G12" s="13" t="n">
        <f aca="false">AVERAGE(B12:F12)*4</f>
        <v>45.6</v>
      </c>
      <c r="H12" s="13" t="n">
        <v>79</v>
      </c>
      <c r="I12" s="13" t="n">
        <v>15</v>
      </c>
      <c r="J12" s="13" t="n">
        <v>18</v>
      </c>
      <c r="K12" s="14" t="n">
        <f aca="false">AVERAGE(H12:J12)</f>
        <v>37.3333333333333</v>
      </c>
      <c r="L12" s="15" t="n">
        <f aca="false">SUM(G12*0.25,K12*0.75)</f>
        <v>39.4</v>
      </c>
    </row>
    <row r="13" customFormat="false" ht="13.8" hidden="false" customHeight="false" outlineLevel="0" collapsed="false">
      <c r="A13" s="12" t="n">
        <v>127</v>
      </c>
      <c r="B13" s="13" t="n">
        <v>5</v>
      </c>
      <c r="C13" s="13" t="n">
        <v>21</v>
      </c>
      <c r="D13" s="13" t="n">
        <v>11</v>
      </c>
      <c r="E13" s="13" t="n">
        <v>21</v>
      </c>
      <c r="F13" s="13" t="n">
        <v>5</v>
      </c>
      <c r="G13" s="13" t="n">
        <f aca="false">AVERAGE(B13:F13)*4</f>
        <v>50.4</v>
      </c>
      <c r="H13" s="13" t="n">
        <v>75</v>
      </c>
      <c r="I13" s="13" t="n">
        <v>55</v>
      </c>
      <c r="J13" s="13" t="n">
        <v>50</v>
      </c>
      <c r="K13" s="14" t="n">
        <f aca="false">AVERAGE(H13:J13)</f>
        <v>60</v>
      </c>
      <c r="L13" s="15" t="n">
        <f aca="false">SUM(G13*0.25,K13*0.75)</f>
        <v>57.6</v>
      </c>
    </row>
    <row r="14" customFormat="false" ht="13.8" hidden="false" customHeight="false" outlineLevel="0" collapsed="false">
      <c r="A14" s="12" t="n">
        <v>128</v>
      </c>
      <c r="B14" s="13" t="n">
        <v>9</v>
      </c>
      <c r="C14" s="13" t="n">
        <v>8</v>
      </c>
      <c r="D14" s="13" t="n">
        <v>17</v>
      </c>
      <c r="E14" s="13" t="n">
        <v>16</v>
      </c>
      <c r="F14" s="13" t="n">
        <v>19</v>
      </c>
      <c r="G14" s="13" t="n">
        <f aca="false">AVERAGE(B14:F14)*4</f>
        <v>55.2</v>
      </c>
      <c r="H14" s="13" t="n">
        <v>91</v>
      </c>
      <c r="I14" s="13" t="n">
        <v>27</v>
      </c>
      <c r="J14" s="13" t="n">
        <v>66</v>
      </c>
      <c r="K14" s="14" t="n">
        <f aca="false">AVERAGE(H14:J14)</f>
        <v>61.3333333333333</v>
      </c>
      <c r="L14" s="15" t="n">
        <f aca="false">SUM(G14*0.25,K14*0.75)</f>
        <v>59.8</v>
      </c>
    </row>
    <row r="15" customFormat="false" ht="13.8" hidden="false" customHeight="false" outlineLevel="0" collapsed="false">
      <c r="A15" s="12" t="n">
        <v>129</v>
      </c>
      <c r="B15" s="13" t="n">
        <v>14</v>
      </c>
      <c r="C15" s="13" t="n">
        <v>6</v>
      </c>
      <c r="D15" s="13" t="n">
        <v>16</v>
      </c>
      <c r="E15" s="13" t="n">
        <v>2</v>
      </c>
      <c r="F15" s="13" t="n">
        <v>2</v>
      </c>
      <c r="G15" s="13" t="n">
        <f aca="false">AVERAGE(B15:F15)*4</f>
        <v>32</v>
      </c>
      <c r="H15" s="13" t="n">
        <v>36</v>
      </c>
      <c r="I15" s="13" t="n">
        <v>77</v>
      </c>
      <c r="J15" s="13" t="n">
        <v>60</v>
      </c>
      <c r="K15" s="14" t="n">
        <f aca="false">AVERAGE(H15:J15)</f>
        <v>57.6666666666667</v>
      </c>
      <c r="L15" s="15" t="n">
        <f aca="false">SUM(G15*0.25,K15*0.75)</f>
        <v>51.25</v>
      </c>
    </row>
    <row r="16" customFormat="false" ht="13.8" hidden="false" customHeight="false" outlineLevel="0" collapsed="false">
      <c r="A16" s="12" t="n">
        <v>130</v>
      </c>
      <c r="B16" s="13" t="n">
        <v>18</v>
      </c>
      <c r="C16" s="13" t="n">
        <v>21</v>
      </c>
      <c r="D16" s="13" t="n">
        <v>21</v>
      </c>
      <c r="E16" s="13" t="n">
        <v>19</v>
      </c>
      <c r="F16" s="13" t="n">
        <v>16</v>
      </c>
      <c r="G16" s="13" t="n">
        <f aca="false">AVERAGE(B16:F16)*4</f>
        <v>76</v>
      </c>
      <c r="H16" s="13" t="n">
        <v>83</v>
      </c>
      <c r="I16" s="13" t="n">
        <v>42</v>
      </c>
      <c r="J16" s="13" t="n">
        <v>68</v>
      </c>
      <c r="K16" s="14" t="n">
        <f aca="false">AVERAGE(H16:J16)</f>
        <v>64.3333333333333</v>
      </c>
      <c r="L16" s="15" t="n">
        <f aca="false">SUM(G16*0.25,K16*0.75)</f>
        <v>67.25</v>
      </c>
    </row>
    <row r="17" customFormat="false" ht="13.8" hidden="false" customHeight="false" outlineLevel="0" collapsed="false">
      <c r="A17" s="12" t="n">
        <v>131</v>
      </c>
      <c r="B17" s="13" t="n">
        <v>25</v>
      </c>
      <c r="C17" s="13" t="n">
        <v>6</v>
      </c>
      <c r="D17" s="13" t="n">
        <v>24</v>
      </c>
      <c r="E17" s="13" t="n">
        <v>17</v>
      </c>
      <c r="F17" s="13" t="n">
        <v>4</v>
      </c>
      <c r="G17" s="13" t="n">
        <f aca="false">AVERAGE(B17:F17)*4</f>
        <v>60.8</v>
      </c>
      <c r="H17" s="13" t="n">
        <v>60</v>
      </c>
      <c r="I17" s="13" t="n">
        <v>52</v>
      </c>
      <c r="J17" s="13" t="n">
        <v>29</v>
      </c>
      <c r="K17" s="14" t="n">
        <f aca="false">AVERAGE(H17:J17)</f>
        <v>47</v>
      </c>
      <c r="L17" s="15" t="n">
        <f aca="false">SUM(G17*0.25,K17*0.75)</f>
        <v>50.45</v>
      </c>
    </row>
    <row r="18" customFormat="false" ht="13.8" hidden="false" customHeight="false" outlineLevel="0" collapsed="false">
      <c r="A18" s="12" t="n">
        <v>132</v>
      </c>
      <c r="B18" s="13" t="n">
        <v>18</v>
      </c>
      <c r="C18" s="13" t="n">
        <v>24</v>
      </c>
      <c r="D18" s="13" t="n">
        <v>7</v>
      </c>
      <c r="E18" s="13" t="n">
        <v>18</v>
      </c>
      <c r="F18" s="13" t="n">
        <v>9</v>
      </c>
      <c r="G18" s="13" t="n">
        <f aca="false">AVERAGE(B18:F18)*4</f>
        <v>60.8</v>
      </c>
      <c r="H18" s="13" t="n">
        <v>34</v>
      </c>
      <c r="I18" s="13" t="n">
        <v>83</v>
      </c>
      <c r="J18" s="13" t="n">
        <v>33</v>
      </c>
      <c r="K18" s="14" t="n">
        <f aca="false">AVERAGE(H18:J18)</f>
        <v>50</v>
      </c>
      <c r="L18" s="15" t="n">
        <f aca="false">SUM(G18*0.25,K18*0.75)</f>
        <v>52.7</v>
      </c>
    </row>
    <row r="19" customFormat="false" ht="13.8" hidden="false" customHeight="false" outlineLevel="0" collapsed="false">
      <c r="A19" s="12" t="n">
        <v>133</v>
      </c>
      <c r="B19" s="13" t="n">
        <v>5</v>
      </c>
      <c r="C19" s="13" t="n">
        <v>18</v>
      </c>
      <c r="D19" s="13" t="n">
        <v>11</v>
      </c>
      <c r="E19" s="13" t="n">
        <v>2</v>
      </c>
      <c r="F19" s="13" t="n">
        <v>23</v>
      </c>
      <c r="G19" s="13" t="n">
        <f aca="false">AVERAGE(B19:F19)*4</f>
        <v>47.2</v>
      </c>
      <c r="H19" s="13" t="n">
        <v>44</v>
      </c>
      <c r="I19" s="13" t="n">
        <v>80</v>
      </c>
      <c r="J19" s="13" t="n">
        <v>90</v>
      </c>
      <c r="K19" s="14" t="n">
        <f aca="false">AVERAGE(H19:J19)</f>
        <v>71.3333333333333</v>
      </c>
      <c r="L19" s="15" t="n">
        <f aca="false">SUM(G19*0.25,K19*0.75)</f>
        <v>65.3</v>
      </c>
    </row>
    <row r="20" customFormat="false" ht="13.8" hidden="false" customHeight="false" outlineLevel="0" collapsed="false">
      <c r="A20" s="12" t="n">
        <v>134</v>
      </c>
      <c r="B20" s="13" t="n">
        <v>17</v>
      </c>
      <c r="C20" s="13" t="n">
        <v>7</v>
      </c>
      <c r="D20" s="13" t="n">
        <v>5</v>
      </c>
      <c r="E20" s="13" t="n">
        <v>5</v>
      </c>
      <c r="F20" s="13" t="n">
        <v>4</v>
      </c>
      <c r="G20" s="13" t="n">
        <f aca="false">AVERAGE(B20:F20)*4</f>
        <v>30.4</v>
      </c>
      <c r="H20" s="13" t="n">
        <v>42</v>
      </c>
      <c r="I20" s="13" t="n">
        <v>77</v>
      </c>
      <c r="J20" s="13" t="n">
        <v>45</v>
      </c>
      <c r="K20" s="14" t="n">
        <f aca="false">AVERAGE(H20:J20)</f>
        <v>54.6666666666667</v>
      </c>
      <c r="L20" s="15" t="n">
        <f aca="false">SUM(G20*0.25,K20*0.75)</f>
        <v>48.6</v>
      </c>
    </row>
    <row r="21" customFormat="false" ht="13.8" hidden="false" customHeight="false" outlineLevel="0" collapsed="false">
      <c r="A21" s="12" t="n">
        <v>135</v>
      </c>
      <c r="B21" s="13" t="n">
        <v>8</v>
      </c>
      <c r="C21" s="13" t="n">
        <v>1</v>
      </c>
      <c r="D21" s="13" t="n">
        <v>12</v>
      </c>
      <c r="E21" s="13" t="n">
        <v>11</v>
      </c>
      <c r="F21" s="13" t="n">
        <v>23</v>
      </c>
      <c r="G21" s="13" t="n">
        <f aca="false">AVERAGE(B21:F21)*4</f>
        <v>44</v>
      </c>
      <c r="H21" s="13" t="n">
        <v>41</v>
      </c>
      <c r="I21" s="13" t="n">
        <v>63</v>
      </c>
      <c r="J21" s="13" t="n">
        <v>10</v>
      </c>
      <c r="K21" s="14" t="n">
        <f aca="false">AVERAGE(H21:J21)</f>
        <v>38</v>
      </c>
      <c r="L21" s="15" t="n">
        <f aca="false">SUM(G21*0.25,K21*0.75)</f>
        <v>39.5</v>
      </c>
    </row>
    <row r="22" customFormat="false" ht="13.8" hidden="false" customHeight="false" outlineLevel="0" collapsed="false">
      <c r="A22" s="12" t="n">
        <v>136</v>
      </c>
      <c r="B22" s="13" t="n">
        <v>20</v>
      </c>
      <c r="C22" s="13" t="n">
        <v>18</v>
      </c>
      <c r="D22" s="13" t="n">
        <v>11</v>
      </c>
      <c r="E22" s="13" t="n">
        <v>5</v>
      </c>
      <c r="F22" s="13" t="n">
        <v>19</v>
      </c>
      <c r="G22" s="13" t="n">
        <f aca="false">AVERAGE(B22:F22)*4</f>
        <v>58.4</v>
      </c>
      <c r="H22" s="13" t="n">
        <v>48</v>
      </c>
      <c r="I22" s="13" t="n">
        <v>96</v>
      </c>
      <c r="J22" s="13" t="n">
        <v>96</v>
      </c>
      <c r="K22" s="14" t="n">
        <f aca="false">AVERAGE(H22:J22)</f>
        <v>80</v>
      </c>
      <c r="L22" s="15" t="n">
        <f aca="false">SUM(G22*0.25,K22*0.75)</f>
        <v>74.6</v>
      </c>
    </row>
    <row r="23" customFormat="false" ht="13.8" hidden="false" customHeight="false" outlineLevel="0" collapsed="false">
      <c r="A23" s="12" t="n">
        <v>137</v>
      </c>
      <c r="B23" s="13" t="n">
        <v>16</v>
      </c>
      <c r="C23" s="13" t="n">
        <v>19</v>
      </c>
      <c r="D23" s="13" t="n">
        <v>13</v>
      </c>
      <c r="E23" s="13" t="n">
        <v>22</v>
      </c>
      <c r="F23" s="13" t="n">
        <v>23</v>
      </c>
      <c r="G23" s="13" t="n">
        <f aca="false">AVERAGE(B23:F23)*4</f>
        <v>74.4</v>
      </c>
      <c r="H23" s="13" t="n">
        <v>83</v>
      </c>
      <c r="I23" s="13" t="n">
        <v>69</v>
      </c>
      <c r="J23" s="13" t="n">
        <v>22</v>
      </c>
      <c r="K23" s="14" t="n">
        <f aca="false">AVERAGE(H23:J23)</f>
        <v>58</v>
      </c>
      <c r="L23" s="15" t="n">
        <f aca="false">SUM(G23*0.25,K23*0.75)</f>
        <v>62.1</v>
      </c>
    </row>
    <row r="24" customFormat="false" ht="13.8" hidden="false" customHeight="false" outlineLevel="0" collapsed="false">
      <c r="A24" s="12" t="n">
        <v>138</v>
      </c>
      <c r="B24" s="13" t="n">
        <v>20</v>
      </c>
      <c r="C24" s="13" t="n">
        <v>10</v>
      </c>
      <c r="D24" s="13" t="n">
        <v>3</v>
      </c>
      <c r="E24" s="13" t="n">
        <v>10</v>
      </c>
      <c r="F24" s="13" t="n">
        <v>20</v>
      </c>
      <c r="G24" s="13" t="n">
        <f aca="false">AVERAGE(B24:F24)*4</f>
        <v>50.4</v>
      </c>
      <c r="H24" s="13" t="n">
        <v>38</v>
      </c>
      <c r="I24" s="13" t="n">
        <v>82</v>
      </c>
      <c r="J24" s="13" t="n">
        <v>96</v>
      </c>
      <c r="K24" s="14" t="n">
        <f aca="false">AVERAGE(H24:J24)</f>
        <v>72</v>
      </c>
      <c r="L24" s="15" t="n">
        <f aca="false">SUM(G24*0.25,K24*0.75)</f>
        <v>66.6</v>
      </c>
    </row>
    <row r="25" customFormat="false" ht="13.8" hidden="false" customHeight="false" outlineLevel="0" collapsed="false">
      <c r="A25" s="12" t="n">
        <v>139</v>
      </c>
      <c r="B25" s="13" t="n">
        <v>11</v>
      </c>
      <c r="C25" s="13" t="n">
        <v>20</v>
      </c>
      <c r="D25" s="13" t="n">
        <v>11</v>
      </c>
      <c r="E25" s="13" t="n">
        <v>9</v>
      </c>
      <c r="F25" s="13" t="n">
        <v>13</v>
      </c>
      <c r="G25" s="13" t="n">
        <f aca="false">AVERAGE(B25:F25)*4</f>
        <v>51.2</v>
      </c>
      <c r="H25" s="13" t="n">
        <v>96</v>
      </c>
      <c r="I25" s="13" t="n">
        <v>56</v>
      </c>
      <c r="J25" s="13" t="n">
        <v>70</v>
      </c>
      <c r="K25" s="14" t="n">
        <f aca="false">AVERAGE(H25:J25)</f>
        <v>74</v>
      </c>
      <c r="L25" s="15" t="n">
        <f aca="false">SUM(G25*0.25,K25*0.75)</f>
        <v>68.3</v>
      </c>
    </row>
    <row r="26" customFormat="false" ht="13.8" hidden="false" customHeight="false" outlineLevel="0" collapsed="false">
      <c r="A26" s="16" t="n">
        <v>140</v>
      </c>
      <c r="B26" s="17" t="n">
        <v>10</v>
      </c>
      <c r="C26" s="17" t="n">
        <v>5</v>
      </c>
      <c r="D26" s="17" t="n">
        <v>8</v>
      </c>
      <c r="E26" s="17" t="n">
        <v>22</v>
      </c>
      <c r="F26" s="17" t="n">
        <v>6</v>
      </c>
      <c r="G26" s="13" t="n">
        <f aca="false">AVERAGE(B26:F26)*4</f>
        <v>40.8</v>
      </c>
      <c r="H26" s="17" t="n">
        <v>91</v>
      </c>
      <c r="I26" s="17" t="n">
        <v>31</v>
      </c>
      <c r="J26" s="17" t="n">
        <v>96</v>
      </c>
      <c r="K26" s="14" t="n">
        <f aca="false">AVERAGE(H26:J26)</f>
        <v>72.6666666666667</v>
      </c>
      <c r="L26" s="15" t="n">
        <f aca="false">SUM(G26*0.25,K26*0.75)</f>
        <v>64.7</v>
      </c>
    </row>
    <row r="27" customFormat="false" ht="13.8" hidden="false" customHeight="false" outlineLevel="0" collapsed="false">
      <c r="G27" s="18"/>
      <c r="K27" s="18"/>
      <c r="L27" s="18"/>
    </row>
    <row r="2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390625" defaultRowHeight="13.8" zeroHeight="false" outlineLevelRow="0" outlineLevelCol="0"/>
  <cols>
    <col collapsed="false" customWidth="true" hidden="false" outlineLevel="0" max="2" min="2" style="0" width="21.71"/>
    <col collapsed="false" customWidth="true" hidden="false" outlineLevel="0" max="3" min="3" style="0" width="17.14"/>
    <col collapsed="false" customWidth="true" hidden="false" outlineLevel="0" max="4" min="4" style="0" width="16.2"/>
    <col collapsed="false" customWidth="true" hidden="false" outlineLevel="0" max="9" min="9" style="0" width="12.13"/>
    <col collapsed="false" customWidth="true" hidden="false" outlineLevel="0" max="11" min="11" style="0" width="13.26"/>
    <col collapsed="false" customWidth="true" hidden="false" outlineLevel="0" max="12" min="12" style="0" width="16.89"/>
  </cols>
  <sheetData>
    <row r="1" s="22" customFormat="true" ht="13.8" hidden="false" customHeight="false" outlineLevel="0" collapsed="false">
      <c r="A1" s="19" t="s">
        <v>15</v>
      </c>
      <c r="B1" s="20" t="s">
        <v>16</v>
      </c>
      <c r="C1" s="20" t="s">
        <v>17</v>
      </c>
      <c r="D1" s="21" t="s">
        <v>18</v>
      </c>
    </row>
    <row r="2" customFormat="false" ht="13.8" hidden="false" customHeight="true" outlineLevel="0" collapsed="false">
      <c r="A2" s="12" t="n">
        <v>120</v>
      </c>
      <c r="B2" s="13" t="n">
        <v>146</v>
      </c>
      <c r="C2" s="13" t="n">
        <v>9300</v>
      </c>
      <c r="D2" s="23" t="n">
        <f aca="false">(C2/1000)/((B2/100)*(B2/100))</f>
        <v>4.36291987239632</v>
      </c>
      <c r="F2" s="24" t="s">
        <v>19</v>
      </c>
      <c r="G2" s="24"/>
      <c r="H2" s="24"/>
      <c r="I2" s="24"/>
    </row>
    <row r="3" customFormat="false" ht="13.8" hidden="false" customHeight="false" outlineLevel="0" collapsed="false">
      <c r="A3" s="12" t="n">
        <v>121</v>
      </c>
      <c r="B3" s="13" t="n">
        <v>180</v>
      </c>
      <c r="C3" s="13" t="n">
        <v>9500</v>
      </c>
      <c r="D3" s="23" t="n">
        <f aca="false">(C3/1000)/((B3/100)*(B3/100))</f>
        <v>2.9320987654321</v>
      </c>
      <c r="F3" s="24"/>
      <c r="G3" s="24"/>
      <c r="H3" s="24"/>
      <c r="I3" s="24"/>
    </row>
    <row r="4" customFormat="false" ht="13.8" hidden="false" customHeight="false" outlineLevel="0" collapsed="false">
      <c r="A4" s="12" t="n">
        <v>122</v>
      </c>
      <c r="B4" s="13" t="n">
        <v>116</v>
      </c>
      <c r="C4" s="13" t="n">
        <v>3900</v>
      </c>
      <c r="D4" s="23" t="n">
        <f aca="false">(C4/1000)/((B4/100)*(B4/100))</f>
        <v>2.89833531510107</v>
      </c>
      <c r="F4" s="24"/>
      <c r="G4" s="24"/>
      <c r="H4" s="24"/>
      <c r="I4" s="24"/>
    </row>
    <row r="5" customFormat="false" ht="13.8" hidden="false" customHeight="false" outlineLevel="0" collapsed="false">
      <c r="A5" s="12" t="n">
        <v>123</v>
      </c>
      <c r="B5" s="13" t="n">
        <v>113</v>
      </c>
      <c r="C5" s="13" t="n">
        <v>9300</v>
      </c>
      <c r="D5" s="23" t="n">
        <f aca="false">(C5/1000)/((B5/100)*(B5/100))</f>
        <v>7.28326415537631</v>
      </c>
      <c r="F5" s="24"/>
      <c r="G5" s="24"/>
      <c r="H5" s="24"/>
      <c r="I5" s="24"/>
    </row>
    <row r="6" customFormat="false" ht="13.8" hidden="false" customHeight="false" outlineLevel="0" collapsed="false">
      <c r="A6" s="12" t="n">
        <v>124</v>
      </c>
      <c r="B6" s="13" t="n">
        <v>94</v>
      </c>
      <c r="C6" s="13" t="n">
        <v>5200</v>
      </c>
      <c r="D6" s="23" t="n">
        <f aca="false">(C6/1000)/((B6/100)*(B6/100))</f>
        <v>5.88501584427343</v>
      </c>
      <c r="F6" s="24"/>
      <c r="G6" s="24"/>
      <c r="H6" s="24"/>
      <c r="I6" s="24"/>
    </row>
    <row r="7" customFormat="false" ht="13.8" hidden="false" customHeight="false" outlineLevel="0" collapsed="false">
      <c r="A7" s="12" t="n">
        <v>125</v>
      </c>
      <c r="B7" s="13" t="n">
        <v>169</v>
      </c>
      <c r="C7" s="13" t="n">
        <v>7300</v>
      </c>
      <c r="D7" s="23" t="n">
        <f aca="false">(C7/1000)/((B7/100)*(B7/100))</f>
        <v>2.55593291551416</v>
      </c>
    </row>
    <row r="8" customFormat="false" ht="13.8" hidden="false" customHeight="false" outlineLevel="0" collapsed="false">
      <c r="A8" s="12" t="n">
        <v>126</v>
      </c>
      <c r="B8" s="13" t="n">
        <v>84</v>
      </c>
      <c r="C8" s="13" t="n">
        <v>8700</v>
      </c>
      <c r="D8" s="23" t="n">
        <f aca="false">(C8/1000)/((B8/100)*(B8/100))</f>
        <v>12.3299319727891</v>
      </c>
    </row>
    <row r="9" customFormat="false" ht="13.8" hidden="false" customHeight="false" outlineLevel="0" collapsed="false">
      <c r="A9" s="12" t="n">
        <v>127</v>
      </c>
      <c r="B9" s="13" t="n">
        <v>104</v>
      </c>
      <c r="C9" s="13" t="n">
        <v>2800</v>
      </c>
      <c r="D9" s="23" t="n">
        <f aca="false">(C9/1000)/((B9/100)*(B9/100))</f>
        <v>2.5887573964497</v>
      </c>
    </row>
    <row r="10" customFormat="false" ht="13.8" hidden="false" customHeight="false" outlineLevel="0" collapsed="false">
      <c r="A10" s="12" t="n">
        <v>128</v>
      </c>
      <c r="B10" s="13" t="n">
        <v>120</v>
      </c>
      <c r="C10" s="13" t="n">
        <v>7000</v>
      </c>
      <c r="D10" s="23" t="n">
        <f aca="false">(C10/1000)/((B10/100)*(B10/100))</f>
        <v>4.86111111111111</v>
      </c>
    </row>
    <row r="11" customFormat="false" ht="13.8" hidden="false" customHeight="false" outlineLevel="0" collapsed="false">
      <c r="A11" s="12" t="n">
        <v>129</v>
      </c>
      <c r="B11" s="13" t="n">
        <v>161</v>
      </c>
      <c r="C11" s="13" t="n">
        <v>7400</v>
      </c>
      <c r="D11" s="23" t="n">
        <f aca="false">(C11/1000)/((B11/100)*(B11/100))</f>
        <v>2.85482813163072</v>
      </c>
    </row>
    <row r="12" customFormat="false" ht="13.8" hidden="false" customHeight="false" outlineLevel="0" collapsed="false">
      <c r="A12" s="12" t="n">
        <v>130</v>
      </c>
      <c r="B12" s="13" t="n">
        <v>163</v>
      </c>
      <c r="C12" s="13" t="n">
        <v>2400</v>
      </c>
      <c r="D12" s="23" t="n">
        <f aca="false">(C12/1000)/((B12/100)*(B12/100))</f>
        <v>0.903308366893748</v>
      </c>
    </row>
    <row r="13" customFormat="false" ht="13.8" hidden="false" customHeight="false" outlineLevel="0" collapsed="false">
      <c r="A13" s="12" t="n">
        <v>131</v>
      </c>
      <c r="B13" s="13" t="n">
        <v>107</v>
      </c>
      <c r="C13" s="13" t="n">
        <v>5200</v>
      </c>
      <c r="D13" s="23" t="n">
        <f aca="false">(C13/1000)/((B13/100)*(B13/100))</f>
        <v>4.5418813870207</v>
      </c>
    </row>
    <row r="14" customFormat="false" ht="13.8" hidden="false" customHeight="false" outlineLevel="0" collapsed="false">
      <c r="A14" s="12" t="n">
        <v>132</v>
      </c>
      <c r="B14" s="13" t="n">
        <v>130</v>
      </c>
      <c r="C14" s="13" t="n">
        <v>8400</v>
      </c>
      <c r="D14" s="23" t="n">
        <f aca="false">(C14/1000)/((B14/100)*(B14/100))</f>
        <v>4.97041420118343</v>
      </c>
    </row>
    <row r="15" customFormat="false" ht="13.8" hidden="false" customHeight="false" outlineLevel="0" collapsed="false">
      <c r="A15" s="12" t="n">
        <v>133</v>
      </c>
      <c r="B15" s="13" t="n">
        <v>118</v>
      </c>
      <c r="C15" s="13" t="n">
        <v>4600</v>
      </c>
      <c r="D15" s="23" t="n">
        <f aca="false">(C15/1000)/((B15/100)*(B15/100))</f>
        <v>3.30364837690319</v>
      </c>
    </row>
    <row r="16" customFormat="false" ht="13.8" hidden="false" customHeight="false" outlineLevel="0" collapsed="false">
      <c r="A16" s="12" t="n">
        <v>134</v>
      </c>
      <c r="B16" s="13" t="n">
        <v>156</v>
      </c>
      <c r="C16" s="13" t="n">
        <v>8300</v>
      </c>
      <c r="D16" s="23" t="n">
        <f aca="false">(C16/1000)/((B16/100)*(B16/100))</f>
        <v>3.41058514135437</v>
      </c>
    </row>
    <row r="17" customFormat="false" ht="13.8" hidden="false" customHeight="false" outlineLevel="0" collapsed="false">
      <c r="A17" s="12" t="n">
        <v>135</v>
      </c>
      <c r="B17" s="13" t="n">
        <v>98</v>
      </c>
      <c r="C17" s="13" t="n">
        <v>4000</v>
      </c>
      <c r="D17" s="23" t="n">
        <f aca="false">(C17/1000)/((B17/100)*(B17/100))</f>
        <v>4.1649312786339</v>
      </c>
    </row>
    <row r="18" customFormat="false" ht="13.8" hidden="false" customHeight="false" outlineLevel="0" collapsed="false">
      <c r="A18" s="12" t="n">
        <v>136</v>
      </c>
      <c r="B18" s="13" t="n">
        <v>88</v>
      </c>
      <c r="C18" s="13" t="n">
        <v>8400</v>
      </c>
      <c r="D18" s="23" t="n">
        <f aca="false">(C18/1000)/((B18/100)*(B18/100))</f>
        <v>10.8471074380165</v>
      </c>
    </row>
    <row r="19" customFormat="false" ht="13.8" hidden="false" customHeight="false" outlineLevel="0" collapsed="false">
      <c r="A19" s="12" t="n">
        <v>137</v>
      </c>
      <c r="B19" s="13" t="n">
        <v>117</v>
      </c>
      <c r="C19" s="13" t="n">
        <v>5800</v>
      </c>
      <c r="D19" s="23" t="n">
        <f aca="false">(C19/1000)/((B19/100)*(B19/100))</f>
        <v>4.23697859595296</v>
      </c>
    </row>
    <row r="20" customFormat="false" ht="13.8" hidden="false" customHeight="false" outlineLevel="0" collapsed="false">
      <c r="A20" s="12" t="n">
        <v>138</v>
      </c>
      <c r="B20" s="13" t="n">
        <v>160</v>
      </c>
      <c r="C20" s="13" t="n">
        <v>6600</v>
      </c>
      <c r="D20" s="23" t="n">
        <f aca="false">(C20/1000)/((B20/100)*(B20/100))</f>
        <v>2.578125</v>
      </c>
    </row>
    <row r="21" customFormat="false" ht="13.8" hidden="false" customHeight="false" outlineLevel="0" collapsed="false">
      <c r="A21" s="12" t="n">
        <v>139</v>
      </c>
      <c r="B21" s="13" t="n">
        <v>180</v>
      </c>
      <c r="C21" s="13" t="n">
        <v>4600</v>
      </c>
      <c r="D21" s="23" t="n">
        <f aca="false">(C21/1000)/((B21/100)*(B21/100))</f>
        <v>1.41975308641975</v>
      </c>
    </row>
    <row r="22" customFormat="false" ht="13.8" hidden="false" customHeight="false" outlineLevel="0" collapsed="false">
      <c r="A22" s="16" t="n">
        <v>140</v>
      </c>
      <c r="B22" s="17" t="n">
        <v>86</v>
      </c>
      <c r="C22" s="17" t="n">
        <v>7100</v>
      </c>
      <c r="D22" s="23" t="n">
        <f aca="false">(C22/1000)/((B22/100)*(B22/100))</f>
        <v>9.59978366684694</v>
      </c>
    </row>
    <row r="23" customFormat="false" ht="13.8" hidden="false" customHeight="false" outlineLevel="0" collapsed="false">
      <c r="D23" s="18"/>
    </row>
  </sheetData>
  <mergeCells count="1">
    <mergeCell ref="F2:I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390625" defaultRowHeight="15" zeroHeight="false" outlineLevelRow="0" outlineLevelCol="0"/>
  <cols>
    <col collapsed="false" customWidth="true" hidden="false" outlineLevel="0" max="2" min="2" style="25" width="12.93"/>
    <col collapsed="false" customWidth="true" hidden="false" outlineLevel="0" max="6" min="6" style="25" width="12.71"/>
  </cols>
  <sheetData>
    <row r="1" customFormat="false" ht="15" hidden="false" customHeight="false" outlineLevel="0" collapsed="false">
      <c r="A1" s="26" t="s">
        <v>20</v>
      </c>
      <c r="B1" s="26"/>
      <c r="E1" s="26" t="s">
        <v>21</v>
      </c>
      <c r="F1" s="26"/>
    </row>
    <row r="2" customFormat="false" ht="15" hidden="false" customHeight="false" outlineLevel="0" collapsed="false">
      <c r="A2" s="2" t="s">
        <v>22</v>
      </c>
      <c r="B2" s="27" t="n">
        <v>0.3</v>
      </c>
      <c r="E2" s="2" t="s">
        <v>22</v>
      </c>
      <c r="F2" s="27" t="n">
        <v>0.3000001</v>
      </c>
    </row>
    <row r="3" customFormat="false" ht="13.8" hidden="false" customHeight="false" outlineLevel="0" collapsed="false">
      <c r="A3" s="28" t="s">
        <v>23</v>
      </c>
      <c r="B3" s="29" t="n">
        <f aca="false">4*B2*(1-B2)</f>
        <v>0.84</v>
      </c>
      <c r="C3" s="30"/>
      <c r="E3" s="28" t="s">
        <v>23</v>
      </c>
      <c r="F3" s="29" t="n">
        <f aca="false">4*F2*(1-F2)</f>
        <v>0.84000015999996</v>
      </c>
      <c r="G3" s="30"/>
    </row>
    <row r="4" customFormat="false" ht="13.8" hidden="false" customHeight="false" outlineLevel="0" collapsed="false">
      <c r="A4" s="28" t="s">
        <v>24</v>
      </c>
      <c r="B4" s="29" t="n">
        <f aca="false">4*B3*(1-B3)</f>
        <v>0.5376</v>
      </c>
      <c r="E4" s="28" t="s">
        <v>24</v>
      </c>
      <c r="F4" s="29" t="n">
        <f aca="false">4*F3*(1-F3)</f>
        <v>0.537599564800006</v>
      </c>
    </row>
    <row r="5" customFormat="false" ht="13.8" hidden="false" customHeight="false" outlineLevel="0" collapsed="false">
      <c r="A5" s="28" t="s">
        <v>25</v>
      </c>
      <c r="B5" s="29" t="n">
        <f aca="false">4*B4*(1-B4)</f>
        <v>0.99434496</v>
      </c>
      <c r="E5" s="28" t="s">
        <v>25</v>
      </c>
      <c r="F5" s="29" t="n">
        <f aca="false">4*F4*(1-F4)</f>
        <v>0.9943450909074</v>
      </c>
    </row>
    <row r="6" customFormat="false" ht="13.8" hidden="false" customHeight="false" outlineLevel="0" collapsed="false">
      <c r="A6" s="28" t="s">
        <v>26</v>
      </c>
      <c r="B6" s="29" t="n">
        <f aca="false">4*B5*(1-B5)</f>
        <v>0.0224922420903934</v>
      </c>
      <c r="E6" s="28" t="s">
        <v>26</v>
      </c>
      <c r="F6" s="29" t="n">
        <f aca="false">4*F5*(1-F5)</f>
        <v>0.0224917243830156</v>
      </c>
    </row>
    <row r="7" customFormat="false" ht="13.8" hidden="false" customHeight="false" outlineLevel="0" collapsed="false">
      <c r="A7" s="28" t="s">
        <v>27</v>
      </c>
      <c r="B7" s="29" t="n">
        <f aca="false">4*B6*(1-B6)</f>
        <v>0.0879453645445621</v>
      </c>
      <c r="E7" s="28" t="s">
        <v>27</v>
      </c>
      <c r="F7" s="29" t="n">
        <f aca="false">4*F6*(1-F6)</f>
        <v>0.0879433868691763</v>
      </c>
    </row>
    <row r="8" customFormat="false" ht="13.8" hidden="false" customHeight="false" outlineLevel="0" collapsed="false">
      <c r="A8" s="28" t="s">
        <v>28</v>
      </c>
      <c r="B8" s="29" t="n">
        <f aca="false">4*B7*(1-B7)</f>
        <v>0.320843909598745</v>
      </c>
      <c r="E8" s="28" t="s">
        <v>28</v>
      </c>
      <c r="F8" s="29" t="n">
        <f aca="false">4*F7*(1-F7)</f>
        <v>0.320837390300619</v>
      </c>
    </row>
    <row r="9" customFormat="false" ht="13.8" hidden="false" customHeight="false" outlineLevel="0" collapsed="false">
      <c r="A9" s="28" t="s">
        <v>29</v>
      </c>
      <c r="B9" s="29" t="n">
        <f aca="false">4*B8*(1-B8)</f>
        <v>0.871612381088549</v>
      </c>
      <c r="E9" s="28" t="s">
        <v>29</v>
      </c>
      <c r="F9" s="29" t="n">
        <f aca="false">4*F8*(1-F8)</f>
        <v>0.871603037142829</v>
      </c>
    </row>
    <row r="10" customFormat="false" ht="13.8" hidden="false" customHeight="false" outlineLevel="0" collapsed="false">
      <c r="A10" s="28" t="s">
        <v>30</v>
      </c>
      <c r="B10" s="29" t="n">
        <f aca="false">4*B9*(1-B9)</f>
        <v>0.447616952886796</v>
      </c>
      <c r="E10" s="28" t="s">
        <v>30</v>
      </c>
      <c r="F10" s="29" t="n">
        <f aca="false">4*F9*(1-F9)</f>
        <v>0.447644731144901</v>
      </c>
    </row>
    <row r="11" customFormat="false" ht="13.8" hidden="false" customHeight="false" outlineLevel="0" collapsed="false">
      <c r="A11" s="28" t="s">
        <v>31</v>
      </c>
      <c r="B11" s="29" t="n">
        <f aca="false">4*B10*(1-B10)</f>
        <v>0.989024065500544</v>
      </c>
      <c r="E11" s="28" t="s">
        <v>31</v>
      </c>
      <c r="F11" s="29" t="n">
        <f aca="false">4*F10*(1-F10)</f>
        <v>0.989035703292442</v>
      </c>
    </row>
    <row r="12" customFormat="false" ht="13.8" hidden="false" customHeight="false" outlineLevel="0" collapsed="false">
      <c r="A12" s="28" t="s">
        <v>32</v>
      </c>
      <c r="B12" s="29" t="n">
        <f aca="false">4*B11*(1-B11)</f>
        <v>0.0434218534452803</v>
      </c>
      <c r="E12" s="28" t="s">
        <v>32</v>
      </c>
      <c r="F12" s="29" t="n">
        <f aca="false">4*F11*(1-F11)</f>
        <v>0.0433763236210685</v>
      </c>
    </row>
    <row r="13" customFormat="false" ht="13.8" hidden="false" customHeight="false" outlineLevel="0" collapsed="false">
      <c r="A13" s="28" t="s">
        <v>33</v>
      </c>
      <c r="B13" s="29" t="n">
        <f aca="false">4*B12*(1-B12)</f>
        <v>0.166145584354628</v>
      </c>
      <c r="E13" s="28" t="s">
        <v>33</v>
      </c>
      <c r="F13" s="29" t="n">
        <f aca="false">4*F12*(1-F12)</f>
        <v>0.165979272680755</v>
      </c>
    </row>
    <row r="14" customFormat="false" ht="13.8" hidden="false" customHeight="false" outlineLevel="0" collapsed="false">
      <c r="A14" s="28" t="s">
        <v>34</v>
      </c>
      <c r="B14" s="29" t="n">
        <f aca="false">4*B13*(1-B13)</f>
        <v>0.554164916616348</v>
      </c>
      <c r="E14" s="28" t="s">
        <v>34</v>
      </c>
      <c r="F14" s="29" t="n">
        <f aca="false">4*F13*(1-F13)</f>
        <v>0.553720614884491</v>
      </c>
    </row>
    <row r="15" customFormat="false" ht="13.8" hidden="false" customHeight="false" outlineLevel="0" collapsed="false">
      <c r="A15" s="28" t="s">
        <v>35</v>
      </c>
      <c r="B15" s="29" t="n">
        <f aca="false">4*B14*(1-B14)</f>
        <v>0.988264647231776</v>
      </c>
      <c r="E15" s="28" t="s">
        <v>35</v>
      </c>
      <c r="F15" s="29" t="n">
        <f aca="false">4*F14*(1-F14)</f>
        <v>0.988456382145729</v>
      </c>
    </row>
    <row r="16" customFormat="false" ht="13.8" hidden="false" customHeight="false" outlineLevel="0" collapsed="false">
      <c r="A16" s="28" t="s">
        <v>36</v>
      </c>
      <c r="B16" s="29" t="n">
        <f aca="false">4*B15*(1-B15)</f>
        <v>0.0463905370545166</v>
      </c>
      <c r="E16" s="28" t="s">
        <v>36</v>
      </c>
      <c r="F16" s="29" t="n">
        <f aca="false">4*F15*(1-F15)</f>
        <v>0.0456414509644228</v>
      </c>
    </row>
    <row r="17" customFormat="false" ht="13.8" hidden="false" customHeight="false" outlineLevel="0" collapsed="false">
      <c r="A17" s="28" t="s">
        <v>37</v>
      </c>
      <c r="B17" s="29" t="n">
        <f aca="false">4*B16*(1-B16)</f>
        <v>0.17695382050524</v>
      </c>
      <c r="E17" s="28" t="s">
        <v>37</v>
      </c>
      <c r="F17" s="29" t="n">
        <f aca="false">4*F16*(1-F16)</f>
        <v>0.17423323567314</v>
      </c>
    </row>
    <row r="18" customFormat="false" ht="13.8" hidden="false" customHeight="false" outlineLevel="0" collapsed="false">
      <c r="A18" s="28" t="s">
        <v>38</v>
      </c>
      <c r="B18" s="29" t="n">
        <f aca="false">4*B17*(1-B17)</f>
        <v>0.582564663655358</v>
      </c>
      <c r="E18" s="28" t="s">
        <v>38</v>
      </c>
      <c r="F18" s="29" t="n">
        <f aca="false">4*F17*(1-F17)</f>
        <v>0.575504061040033</v>
      </c>
    </row>
    <row r="19" customFormat="false" ht="13.8" hidden="false" customHeight="false" outlineLevel="0" collapsed="false">
      <c r="A19" s="28" t="s">
        <v>39</v>
      </c>
      <c r="B19" s="29" t="n">
        <f aca="false">4*B18*(1-B18)</f>
        <v>0.972732305261911</v>
      </c>
      <c r="E19" s="28" t="s">
        <v>39</v>
      </c>
      <c r="F19" s="29" t="n">
        <f aca="false">4*F18*(1-F18)</f>
        <v>0.977196547065852</v>
      </c>
    </row>
    <row r="20" customFormat="false" ht="13.8" hidden="false" customHeight="false" outlineLevel="0" collapsed="false">
      <c r="A20" s="28" t="s">
        <v>40</v>
      </c>
      <c r="B20" s="29" t="n">
        <f aca="false">4*B19*(1-B19)</f>
        <v>0.106096670247039</v>
      </c>
      <c r="E20" s="28" t="s">
        <v>40</v>
      </c>
      <c r="F20" s="29" t="n">
        <f aca="false">4*F19*(1-F19)</f>
        <v>0.0891338218737119</v>
      </c>
    </row>
    <row r="21" customFormat="false" ht="13.8" hidden="false" customHeight="false" outlineLevel="0" collapsed="false">
      <c r="A21" s="28" t="s">
        <v>41</v>
      </c>
      <c r="B21" s="29" t="n">
        <f aca="false">4*B20*(1-B20)</f>
        <v>0.379360667238121</v>
      </c>
      <c r="E21" s="28" t="s">
        <v>41</v>
      </c>
      <c r="F21" s="29" t="n">
        <f aca="false">4*F20*(1-F20)</f>
        <v>0.324755934687589</v>
      </c>
    </row>
    <row r="22" customFormat="false" ht="13.8" hidden="false" customHeight="false" outlineLevel="0" collapsed="false">
      <c r="A22" s="28" t="s">
        <v>42</v>
      </c>
      <c r="B22" s="29" t="n">
        <f aca="false">4*B21*(1-B21)</f>
        <v>0.941784605563075</v>
      </c>
      <c r="E22" s="28" t="s">
        <v>42</v>
      </c>
      <c r="F22" s="29" t="n">
        <f aca="false">4*F21*(1-F21)</f>
        <v>0.877158070291118</v>
      </c>
    </row>
    <row r="23" customFormat="false" ht="13.8" hidden="false" customHeight="false" outlineLevel="0" collapsed="false">
      <c r="A23" s="28" t="s">
        <v>43</v>
      </c>
      <c r="B23" s="29" t="n">
        <f aca="false">4*B22*(1-B22)</f>
        <v>0.219305449149915</v>
      </c>
      <c r="E23" s="28" t="s">
        <v>43</v>
      </c>
      <c r="F23" s="29" t="n">
        <f aca="false">4*F22*(1-F22)</f>
        <v>0.431007160057121</v>
      </c>
    </row>
    <row r="24" customFormat="false" ht="13.8" hidden="false" customHeight="false" outlineLevel="0" collapsed="false">
      <c r="A24" s="28" t="s">
        <v>44</v>
      </c>
      <c r="B24" s="29" t="n">
        <f aca="false">4*B23*(1-B23)</f>
        <v>0.684842276492275</v>
      </c>
      <c r="E24" s="28" t="s">
        <v>44</v>
      </c>
      <c r="F24" s="29" t="n">
        <f aca="false">4*F23*(1-F23)</f>
        <v>0.980959952146465</v>
      </c>
    </row>
    <row r="25" customFormat="false" ht="13.8" hidden="false" customHeight="false" outlineLevel="0" collapsed="false">
      <c r="A25" s="28" t="s">
        <v>45</v>
      </c>
      <c r="B25" s="29" t="n">
        <f aca="false">4*B24*(1-B24)</f>
        <v>0.863333331284613</v>
      </c>
      <c r="E25" s="28" t="s">
        <v>45</v>
      </c>
      <c r="F25" s="29" t="n">
        <f aca="false">4*F24*(1-F24)</f>
        <v>0.0747100977250803</v>
      </c>
    </row>
    <row r="26" customFormat="false" ht="13.8" hidden="false" customHeight="false" outlineLevel="0" collapsed="false">
      <c r="A26" s="28" t="s">
        <v>46</v>
      </c>
      <c r="B26" s="29" t="n">
        <f aca="false">4*B25*(1-B25)</f>
        <v>0.471955561510502</v>
      </c>
      <c r="E26" s="28" t="s">
        <v>46</v>
      </c>
      <c r="F26" s="29" t="n">
        <f aca="false">4*F25*(1-F25)</f>
        <v>0.276513996091957</v>
      </c>
    </row>
    <row r="27" customFormat="false" ht="13.8" hidden="false" customHeight="false" outlineLevel="0" collapsed="false">
      <c r="A27" s="28" t="s">
        <v>47</v>
      </c>
      <c r="B27" s="29" t="n">
        <f aca="false">4*B26*(1-B26)</f>
        <v>0.996854037879235</v>
      </c>
      <c r="E27" s="28" t="s">
        <v>47</v>
      </c>
      <c r="F27" s="29" t="n">
        <f aca="false">4*F26*(1-F26)</f>
        <v>0.800216024228857</v>
      </c>
    </row>
    <row r="28" customFormat="false" ht="13.8" hidden="false" customHeight="false" outlineLevel="0" collapsed="false">
      <c r="A28" s="28" t="s">
        <v>48</v>
      </c>
      <c r="B28" s="29" t="n">
        <f aca="false">4*B27*(1-B27)</f>
        <v>0.0125442601723989</v>
      </c>
      <c r="E28" s="28" t="s">
        <v>48</v>
      </c>
      <c r="F28" s="29" t="n">
        <f aca="false">4*F27*(1-F27)</f>
        <v>0.639481355184874</v>
      </c>
    </row>
    <row r="29" customFormat="false" ht="13.8" hidden="false" customHeight="false" outlineLevel="0" collapsed="false">
      <c r="A29" s="28" t="s">
        <v>49</v>
      </c>
      <c r="B29" s="29" t="n">
        <f aca="false">4*B28*(1-B28)</f>
        <v>0.0495476068365042</v>
      </c>
      <c r="E29" s="28" t="s">
        <v>49</v>
      </c>
      <c r="F29" s="29" t="n">
        <f aca="false">4*F28*(1-F28)</f>
        <v>0.922179806223164</v>
      </c>
    </row>
    <row r="30" customFormat="false" ht="13.8" hidden="false" customHeight="false" outlineLevel="0" collapsed="false">
      <c r="A30" s="28" t="s">
        <v>50</v>
      </c>
      <c r="B30" s="29" t="n">
        <f aca="false">4*B29*(1-B29)</f>
        <v>0.188370565973118</v>
      </c>
      <c r="E30" s="28" t="s">
        <v>50</v>
      </c>
      <c r="F30" s="29" t="n">
        <f aca="false">4*F29*(1-F29)</f>
        <v>0.287056844869488</v>
      </c>
    </row>
    <row r="31" customFormat="false" ht="13.8" hidden="false" customHeight="false" outlineLevel="0" collapsed="false">
      <c r="A31" s="28" t="s">
        <v>51</v>
      </c>
      <c r="B31" s="29" t="n">
        <f aca="false">4*B30*(1-B30)</f>
        <v>0.61154838339234</v>
      </c>
      <c r="E31" s="28" t="s">
        <v>51</v>
      </c>
      <c r="F31" s="29" t="n">
        <f aca="false">4*F30*(1-F30)</f>
        <v>0.81862085073225</v>
      </c>
    </row>
    <row r="32" customFormat="false" ht="13.8" hidden="false" customHeight="false" outlineLevel="0" collapsed="false">
      <c r="A32" s="28" t="s">
        <v>52</v>
      </c>
      <c r="B32" s="29" t="n">
        <f aca="false">4*B31*(1-B31)</f>
        <v>0.950227832650222</v>
      </c>
      <c r="E32" s="28" t="s">
        <v>52</v>
      </c>
      <c r="F32" s="29" t="n">
        <f aca="false">4*F31*(1-F31)</f>
        <v>0.593923013914629</v>
      </c>
    </row>
    <row r="33" customFormat="false" ht="13.8" hidden="false" customHeight="false" outlineLevel="0" collapsed="false">
      <c r="A33" s="28" t="s">
        <v>53</v>
      </c>
      <c r="B33" s="29" t="n">
        <f aca="false">4*B32*(1-B32)</f>
        <v>0.189179594828335</v>
      </c>
      <c r="E33" s="28" t="s">
        <v>53</v>
      </c>
      <c r="F33" s="29" t="n">
        <f aca="false">4*F32*(1-F32)</f>
        <v>0.96471386982877</v>
      </c>
    </row>
    <row r="34" customFormat="false" ht="13.8" hidden="false" customHeight="false" outlineLevel="0" collapsed="false">
      <c r="A34" s="28" t="s">
        <v>54</v>
      </c>
      <c r="B34" s="29" t="n">
        <f aca="false">4*B33*(1-B33)</f>
        <v>0.613562702915687</v>
      </c>
      <c r="E34" s="28" t="s">
        <v>54</v>
      </c>
      <c r="F34" s="29" t="n">
        <f aca="false">4*F33*(1-F33)</f>
        <v>0.136164076755077</v>
      </c>
    </row>
    <row r="35" customFormat="false" ht="13.8" hidden="false" customHeight="false" outlineLevel="0" collapsed="false">
      <c r="A35" s="28" t="s">
        <v>55</v>
      </c>
      <c r="B35" s="29" t="n">
        <f aca="false">4*B34*(1-B34)</f>
        <v>0.948414050025933</v>
      </c>
      <c r="E35" s="28" t="s">
        <v>55</v>
      </c>
      <c r="F35" s="29" t="n">
        <f aca="false">4*F34*(1-F34)</f>
        <v>0.470493683826057</v>
      </c>
    </row>
    <row r="36" customFormat="false" ht="13.8" hidden="false" customHeight="false" outlineLevel="0" collapsed="false">
      <c r="A36" s="28" t="s">
        <v>56</v>
      </c>
      <c r="B36" s="29" t="n">
        <f aca="false">4*B35*(1-B35)</f>
        <v>0.195699358957358</v>
      </c>
      <c r="E36" s="28" t="s">
        <v>56</v>
      </c>
      <c r="F36" s="29" t="n">
        <f aca="false">4*F35*(1-F35)</f>
        <v>0.996517509223373</v>
      </c>
    </row>
    <row r="37" customFormat="false" ht="13.8" hidden="false" customHeight="false" outlineLevel="0" collapsed="false">
      <c r="A37" s="28" t="s">
        <v>57</v>
      </c>
      <c r="B37" s="29" t="n">
        <f aca="false">4*B36*(1-B36)</f>
        <v>0.62960447944415</v>
      </c>
      <c r="E37" s="28" t="s">
        <v>57</v>
      </c>
      <c r="F37" s="29" t="n">
        <f aca="false">4*F36*(1-F36)</f>
        <v>0.0138814521384695</v>
      </c>
    </row>
    <row r="38" customFormat="false" ht="13.8" hidden="false" customHeight="false" outlineLevel="0" collapsed="false">
      <c r="A38" s="28" t="s">
        <v>58</v>
      </c>
      <c r="B38" s="29" t="n">
        <f aca="false">4*B37*(1-B37)</f>
        <v>0.932810715632044</v>
      </c>
      <c r="E38" s="28" t="s">
        <v>58</v>
      </c>
      <c r="F38" s="29" t="n">
        <f aca="false">4*F37*(1-F37)</f>
        <v>0.0547550296999874</v>
      </c>
    </row>
    <row r="39" customFormat="false" ht="13.8" hidden="false" customHeight="false" outlineLevel="0" collapsed="false">
      <c r="A39" s="28" t="s">
        <v>59</v>
      </c>
      <c r="B39" s="29" t="n">
        <f aca="false">4*B38*(1-B38)</f>
        <v>0.250699537736312</v>
      </c>
      <c r="E39" s="28" t="s">
        <v>59</v>
      </c>
      <c r="F39" s="29" t="n">
        <f aca="false">4*F38*(1-F38)</f>
        <v>0.207027665690164</v>
      </c>
    </row>
    <row r="40" customFormat="false" ht="13.8" hidden="false" customHeight="false" outlineLevel="0" collapsed="false">
      <c r="A40" s="28" t="s">
        <v>60</v>
      </c>
      <c r="B40" s="29" t="n">
        <f aca="false">4*B39*(1-B39)</f>
        <v>0.751397118060446</v>
      </c>
      <c r="E40" s="28" t="s">
        <v>60</v>
      </c>
      <c r="F40" s="29" t="n">
        <f aca="false">4*F39*(1-F39)</f>
        <v>0.656668845316182</v>
      </c>
    </row>
    <row r="41" customFormat="false" ht="13.8" hidden="false" customHeight="false" outlineLevel="0" collapsed="false">
      <c r="A41" s="28" t="s">
        <v>61</v>
      </c>
      <c r="B41" s="29" t="n">
        <f aca="false">4*B40*(1-B40)</f>
        <v>0.747197956123608</v>
      </c>
      <c r="E41" s="28" t="s">
        <v>61</v>
      </c>
      <c r="F41" s="29" t="n">
        <f aca="false">4*F40*(1-F40)</f>
        <v>0.901819491629177</v>
      </c>
    </row>
    <row r="42" customFormat="false" ht="13.8" hidden="false" customHeight="false" outlineLevel="0" collapsed="false">
      <c r="A42" s="28" t="s">
        <v>62</v>
      </c>
      <c r="B42" s="29" t="n">
        <f aca="false">4*B41*(1-B41)</f>
        <v>0.755572681953243</v>
      </c>
      <c r="E42" s="28" t="s">
        <v>62</v>
      </c>
      <c r="F42" s="29" t="n">
        <f aca="false">4*F41*(1-F41)</f>
        <v>0.354164384587478</v>
      </c>
    </row>
    <row r="43" customFormat="false" ht="13.8" hidden="false" customHeight="false" outlineLevel="0" collapsed="false">
      <c r="A43" s="28" t="s">
        <v>63</v>
      </c>
      <c r="B43" s="29" t="n">
        <f aca="false">4*B42*(1-B42)</f>
        <v>0.738730416956905</v>
      </c>
      <c r="E43" s="28" t="s">
        <v>63</v>
      </c>
      <c r="F43" s="29" t="n">
        <f aca="false">4*F42*(1-F42)</f>
        <v>0.914927893109004</v>
      </c>
    </row>
    <row r="44" customFormat="false" ht="13.8" hidden="false" customHeight="false" outlineLevel="0" collapsed="false">
      <c r="A44" s="28" t="s">
        <v>64</v>
      </c>
      <c r="B44" s="29" t="n">
        <f aca="false">4*B43*(1-B43)</f>
        <v>0.772031152078329</v>
      </c>
      <c r="E44" s="28" t="s">
        <v>64</v>
      </c>
      <c r="F44" s="29" t="n">
        <f aca="false">4*F43*(1-F43)</f>
        <v>0.311339374080492</v>
      </c>
    </row>
    <row r="45" customFormat="false" ht="13.8" hidden="false" customHeight="false" outlineLevel="0" collapsed="false">
      <c r="A45" s="28" t="s">
        <v>65</v>
      </c>
      <c r="B45" s="29" t="n">
        <f aca="false">4*B44*(1-B44)</f>
        <v>0.703996209195748</v>
      </c>
      <c r="E45" s="28" t="s">
        <v>65</v>
      </c>
      <c r="F45" s="29" t="n">
        <f aca="false">4*F44*(1-F44)</f>
        <v>0.857628672910638</v>
      </c>
    </row>
    <row r="46" customFormat="false" ht="13.8" hidden="false" customHeight="false" outlineLevel="0" collapsed="false">
      <c r="A46" s="28" t="s">
        <v>66</v>
      </c>
      <c r="B46" s="29" t="n">
        <f aca="false">4*B45*(1-B45)</f>
        <v>0.833542186535058</v>
      </c>
      <c r="E46" s="28" t="s">
        <v>66</v>
      </c>
      <c r="F46" s="29" t="n">
        <f aca="false">4*F45*(1-F45)</f>
        <v>0.488406929248705</v>
      </c>
    </row>
    <row r="47" customFormat="false" ht="13.8" hidden="false" customHeight="false" outlineLevel="0" collapsed="false">
      <c r="A47" s="28" t="s">
        <v>67</v>
      </c>
      <c r="B47" s="29" t="n">
        <f aca="false">4*B46*(1-B46)</f>
        <v>0.55499843920565</v>
      </c>
      <c r="E47" s="28" t="s">
        <v>67</v>
      </c>
      <c r="F47" s="29" t="n">
        <f aca="false">4*F46*(1-F46)</f>
        <v>0.999462402842222</v>
      </c>
    </row>
    <row r="48" customFormat="false" ht="13.8" hidden="false" customHeight="false" outlineLevel="0" collapsed="false">
      <c r="A48" s="28" t="s">
        <v>68</v>
      </c>
      <c r="B48" s="29" t="n">
        <f aca="false">4*B47*(1-B47)</f>
        <v>0.98790068673977</v>
      </c>
      <c r="E48" s="28" t="s">
        <v>68</v>
      </c>
      <c r="F48" s="29" t="n">
        <f aca="false">4*F47*(1-F47)</f>
        <v>0.00214923258829585</v>
      </c>
    </row>
    <row r="49" customFormat="false" ht="13.8" hidden="false" customHeight="false" outlineLevel="0" collapsed="false">
      <c r="A49" s="28" t="s">
        <v>69</v>
      </c>
      <c r="B49" s="29" t="n">
        <f aca="false">4*B48*(1-B48)</f>
        <v>0.0478116795154448</v>
      </c>
      <c r="E49" s="28" t="s">
        <v>69</v>
      </c>
      <c r="F49" s="29" t="n">
        <f aca="false">4*F48*(1-F48)</f>
        <v>0.00857845355030903</v>
      </c>
    </row>
    <row r="50" customFormat="false" ht="13.8" hidden="false" customHeight="false" outlineLevel="0" collapsed="false">
      <c r="A50" s="28" t="s">
        <v>70</v>
      </c>
      <c r="B50" s="29" t="n">
        <f aca="false">4*B49*(1-B49)</f>
        <v>0.182102891269429</v>
      </c>
      <c r="E50" s="28" t="s">
        <v>70</v>
      </c>
      <c r="F50" s="29" t="n">
        <f aca="false">4*F49*(1-F49)</f>
        <v>0.0340194547399769</v>
      </c>
    </row>
    <row r="51" customFormat="false" ht="13.8" hidden="false" customHeight="false" outlineLevel="0" collapsed="false">
      <c r="A51" s="28" t="s">
        <v>71</v>
      </c>
      <c r="B51" s="29" t="n">
        <f aca="false">4*B50*(1-B50)</f>
        <v>0.595765713042974</v>
      </c>
      <c r="E51" s="28" t="s">
        <v>71</v>
      </c>
      <c r="F51" s="29" t="n">
        <f aca="false">4*F50*(1-F50)</f>
        <v>0.131448525756686</v>
      </c>
    </row>
    <row r="52" customFormat="false" ht="13.8" hidden="false" customHeight="false" outlineLevel="0" collapsed="false">
      <c r="A52" s="4" t="s">
        <v>72</v>
      </c>
      <c r="B52" s="29" t="n">
        <f aca="false">4*B51*(1-B51)</f>
        <v>0.963315712821483</v>
      </c>
      <c r="E52" s="4" t="s">
        <v>72</v>
      </c>
      <c r="F52" s="29" t="n">
        <f aca="false">4*F51*(1-F51)</f>
        <v>0.45667924333232</v>
      </c>
    </row>
  </sheetData>
  <mergeCells count="2">
    <mergeCell ref="A1:B1"/>
    <mergeCell ref="E1:F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.43"/>
    <col collapsed="false" customWidth="true" hidden="false" outlineLevel="0" max="3" min="3" style="0" width="10.85"/>
    <col collapsed="false" customWidth="true" hidden="false" outlineLevel="0" max="6" min="6" style="0" width="10.71"/>
    <col collapsed="false" customWidth="true" hidden="false" outlineLevel="0" max="7" min="7" style="0" width="14.02"/>
  </cols>
  <sheetData>
    <row r="1" customFormat="false" ht="15" hidden="false" customHeight="false" outlineLevel="0" collapsed="false">
      <c r="A1" s="2" t="s">
        <v>73</v>
      </c>
      <c r="B1" s="31" t="n">
        <v>12230</v>
      </c>
    </row>
    <row r="2" customFormat="false" ht="30" hidden="false" customHeight="true" outlineLevel="0" collapsed="false">
      <c r="A2" s="32" t="s">
        <v>74</v>
      </c>
      <c r="B2" s="33" t="n">
        <v>1.2</v>
      </c>
    </row>
    <row r="3" customFormat="false" ht="28.35" hidden="false" customHeight="false" outlineLevel="0" collapsed="false">
      <c r="A3" s="34" t="s">
        <v>75</v>
      </c>
      <c r="B3" s="5" t="n">
        <v>0.7</v>
      </c>
    </row>
    <row r="4" customFormat="false" ht="13.8" hidden="false" customHeight="false" outlineLevel="0" collapsed="false"/>
    <row r="5" customFormat="false" ht="30.75" hidden="false" customHeight="false" outlineLevel="0" collapsed="false">
      <c r="A5" s="35" t="s">
        <v>76</v>
      </c>
      <c r="B5" s="36" t="n">
        <v>6115</v>
      </c>
    </row>
    <row r="7" customFormat="false" ht="13.8" hidden="false" customHeight="false" outlineLevel="0" collapsed="false">
      <c r="D7" s="18"/>
      <c r="E7" s="18"/>
      <c r="G7" s="18"/>
    </row>
    <row r="8" s="37" customFormat="true" ht="45.75" hidden="false" customHeight="false" outlineLevel="0" collapsed="false">
      <c r="B8" s="38" t="s">
        <v>77</v>
      </c>
      <c r="C8" s="39" t="s">
        <v>73</v>
      </c>
      <c r="D8" s="40" t="s">
        <v>78</v>
      </c>
      <c r="E8" s="40" t="s">
        <v>79</v>
      </c>
      <c r="F8" s="39" t="s">
        <v>80</v>
      </c>
      <c r="G8" s="41" t="s">
        <v>81</v>
      </c>
    </row>
    <row r="9" customFormat="false" ht="13.8" hidden="false" customHeight="false" outlineLevel="0" collapsed="false">
      <c r="B9" s="42" t="n">
        <v>1</v>
      </c>
      <c r="C9" s="43" t="n">
        <v>12230</v>
      </c>
      <c r="D9" s="44" t="n">
        <f aca="false">1.2*C9</f>
        <v>14676</v>
      </c>
      <c r="E9" s="44" t="n">
        <f aca="false">0.7*C9</f>
        <v>8561</v>
      </c>
      <c r="F9" s="44" t="n">
        <f aca="false">$B$5</f>
        <v>6115</v>
      </c>
      <c r="G9" s="43" t="n">
        <f aca="false">C9+D9-E9-F9</f>
        <v>12230</v>
      </c>
    </row>
    <row r="10" customFormat="false" ht="13.8" hidden="false" customHeight="false" outlineLevel="0" collapsed="false">
      <c r="B10" s="42" t="n">
        <v>2</v>
      </c>
      <c r="C10" s="44" t="n">
        <f aca="false">G9</f>
        <v>12230</v>
      </c>
      <c r="D10" s="44" t="n">
        <f aca="false">1.2*C10</f>
        <v>14676</v>
      </c>
      <c r="E10" s="44" t="n">
        <f aca="false">0.7*C10</f>
        <v>8561</v>
      </c>
      <c r="F10" s="44" t="n">
        <f aca="false">$B$5</f>
        <v>6115</v>
      </c>
      <c r="G10" s="43" t="n">
        <f aca="false">C10+D10-E10-F10</f>
        <v>12230</v>
      </c>
    </row>
    <row r="11" customFormat="false" ht="13.8" hidden="false" customHeight="false" outlineLevel="0" collapsed="false">
      <c r="B11" s="42" t="n">
        <v>3</v>
      </c>
      <c r="C11" s="44" t="n">
        <f aca="false">G10</f>
        <v>12230</v>
      </c>
      <c r="D11" s="44" t="n">
        <f aca="false">1.2*C11</f>
        <v>14676</v>
      </c>
      <c r="E11" s="44" t="n">
        <f aca="false">0.7*C11</f>
        <v>8561</v>
      </c>
      <c r="F11" s="44" t="n">
        <f aca="false">$B$5</f>
        <v>6115</v>
      </c>
      <c r="G11" s="43" t="n">
        <f aca="false">C11+D11-E11-F11</f>
        <v>12230</v>
      </c>
    </row>
    <row r="12" customFormat="false" ht="13.8" hidden="false" customHeight="false" outlineLevel="0" collapsed="false">
      <c r="B12" s="42" t="n">
        <v>4</v>
      </c>
      <c r="C12" s="44" t="n">
        <f aca="false">G11</f>
        <v>12230</v>
      </c>
      <c r="D12" s="44" t="n">
        <f aca="false">1.2*C12</f>
        <v>14676</v>
      </c>
      <c r="E12" s="44" t="n">
        <f aca="false">0.7*C12</f>
        <v>8561</v>
      </c>
      <c r="F12" s="44" t="n">
        <f aca="false">$B$5</f>
        <v>6115</v>
      </c>
      <c r="G12" s="43" t="n">
        <f aca="false">C12+D12-E12-F12</f>
        <v>12230</v>
      </c>
    </row>
    <row r="13" customFormat="false" ht="13.8" hidden="false" customHeight="false" outlineLevel="0" collapsed="false">
      <c r="B13" s="42" t="n">
        <v>5</v>
      </c>
      <c r="C13" s="44" t="n">
        <f aca="false">G12</f>
        <v>12230</v>
      </c>
      <c r="D13" s="44" t="n">
        <f aca="false">1.2*C13</f>
        <v>14676</v>
      </c>
      <c r="E13" s="44" t="n">
        <f aca="false">0.7*C13</f>
        <v>8561</v>
      </c>
      <c r="F13" s="44" t="n">
        <f aca="false">$B$5</f>
        <v>6115</v>
      </c>
      <c r="G13" s="43" t="n">
        <f aca="false">C13+D13-E13-F13</f>
        <v>12230</v>
      </c>
    </row>
    <row r="14" customFormat="false" ht="13.8" hidden="false" customHeight="false" outlineLevel="0" collapsed="false">
      <c r="B14" s="42" t="n">
        <v>6</v>
      </c>
      <c r="C14" s="44" t="n">
        <f aca="false">G13</f>
        <v>12230</v>
      </c>
      <c r="D14" s="44" t="n">
        <f aca="false">1.2*C14</f>
        <v>14676</v>
      </c>
      <c r="E14" s="44" t="n">
        <f aca="false">0.7*C14</f>
        <v>8561</v>
      </c>
      <c r="F14" s="44" t="n">
        <f aca="false">$B$5</f>
        <v>6115</v>
      </c>
      <c r="G14" s="43" t="n">
        <f aca="false">C14+D14-E14-F14</f>
        <v>12230</v>
      </c>
    </row>
    <row r="15" customFormat="false" ht="13.8" hidden="false" customHeight="false" outlineLevel="0" collapsed="false">
      <c r="B15" s="42" t="n">
        <v>7</v>
      </c>
      <c r="C15" s="44" t="n">
        <f aca="false">G14</f>
        <v>12230</v>
      </c>
      <c r="D15" s="44" t="n">
        <f aca="false">1.2*C15</f>
        <v>14676</v>
      </c>
      <c r="E15" s="44" t="n">
        <f aca="false">0.7*C15</f>
        <v>8561</v>
      </c>
      <c r="F15" s="44" t="n">
        <f aca="false">$B$5</f>
        <v>6115</v>
      </c>
      <c r="G15" s="43" t="n">
        <f aca="false">C15+D15-E15-F15</f>
        <v>12230</v>
      </c>
    </row>
    <row r="16" customFormat="false" ht="13.8" hidden="false" customHeight="false" outlineLevel="0" collapsed="false">
      <c r="B16" s="42" t="n">
        <v>8</v>
      </c>
      <c r="C16" s="44" t="n">
        <f aca="false">G15</f>
        <v>12230</v>
      </c>
      <c r="D16" s="44" t="n">
        <f aca="false">1.2*C16</f>
        <v>14676</v>
      </c>
      <c r="E16" s="44" t="n">
        <f aca="false">0.7*C16</f>
        <v>8561</v>
      </c>
      <c r="F16" s="44" t="n">
        <f aca="false">$B$5</f>
        <v>6115</v>
      </c>
      <c r="G16" s="43" t="n">
        <f aca="false">C16+D16-E16-F16</f>
        <v>12230</v>
      </c>
    </row>
    <row r="17" customFormat="false" ht="13.8" hidden="false" customHeight="false" outlineLevel="0" collapsed="false">
      <c r="B17" s="42" t="n">
        <v>9</v>
      </c>
      <c r="C17" s="44" t="n">
        <f aca="false">G16</f>
        <v>12230</v>
      </c>
      <c r="D17" s="44" t="n">
        <f aca="false">1.2*C17</f>
        <v>14676</v>
      </c>
      <c r="E17" s="44" t="n">
        <f aca="false">0.7*C17</f>
        <v>8561</v>
      </c>
      <c r="F17" s="44" t="n">
        <f aca="false">$B$5</f>
        <v>6115</v>
      </c>
      <c r="G17" s="43" t="n">
        <f aca="false">C17+D17-E17-F17</f>
        <v>12230</v>
      </c>
    </row>
    <row r="18" customFormat="false" ht="13.8" hidden="false" customHeight="false" outlineLevel="0" collapsed="false">
      <c r="B18" s="42" t="n">
        <v>10</v>
      </c>
      <c r="C18" s="44" t="n">
        <f aca="false">G17</f>
        <v>12230</v>
      </c>
      <c r="D18" s="44" t="n">
        <f aca="false">1.2*C18</f>
        <v>14676</v>
      </c>
      <c r="E18" s="44" t="n">
        <f aca="false">0.7*C18</f>
        <v>8561</v>
      </c>
      <c r="F18" s="44" t="n">
        <f aca="false">$B$5</f>
        <v>6115</v>
      </c>
      <c r="G18" s="43" t="n">
        <f aca="false">C18+D18-E18-F18</f>
        <v>12230</v>
      </c>
    </row>
    <row r="19" customFormat="false" ht="13.8" hidden="false" customHeight="false" outlineLevel="0" collapsed="false">
      <c r="B19" s="42" t="n">
        <v>11</v>
      </c>
      <c r="C19" s="44" t="n">
        <f aca="false">G18</f>
        <v>12230</v>
      </c>
      <c r="D19" s="44" t="n">
        <f aca="false">1.2*C19</f>
        <v>14676</v>
      </c>
      <c r="E19" s="44" t="n">
        <f aca="false">0.7*C19</f>
        <v>8561</v>
      </c>
      <c r="F19" s="44" t="n">
        <f aca="false">$B$5</f>
        <v>6115</v>
      </c>
      <c r="G19" s="43" t="n">
        <f aca="false">C19+D19-E19-F19</f>
        <v>12230</v>
      </c>
    </row>
    <row r="20" customFormat="false" ht="13.8" hidden="false" customHeight="false" outlineLevel="0" collapsed="false">
      <c r="B20" s="42" t="n">
        <v>12</v>
      </c>
      <c r="C20" s="44" t="n">
        <f aca="false">G19</f>
        <v>12230</v>
      </c>
      <c r="D20" s="44" t="n">
        <f aca="false">1.2*C20</f>
        <v>14676</v>
      </c>
      <c r="E20" s="44" t="n">
        <f aca="false">0.7*C20</f>
        <v>8561</v>
      </c>
      <c r="F20" s="44" t="n">
        <f aca="false">$B$5</f>
        <v>6115</v>
      </c>
      <c r="G20" s="43" t="n">
        <f aca="false">C20+D20-E20-F20</f>
        <v>12230</v>
      </c>
    </row>
    <row r="21" customFormat="false" ht="13.8" hidden="false" customHeight="false" outlineLevel="0" collapsed="false">
      <c r="B21" s="42" t="n">
        <v>13</v>
      </c>
      <c r="C21" s="44" t="n">
        <f aca="false">G20</f>
        <v>12230</v>
      </c>
      <c r="D21" s="44" t="n">
        <f aca="false">1.2*C21</f>
        <v>14676</v>
      </c>
      <c r="E21" s="44" t="n">
        <f aca="false">0.7*C21</f>
        <v>8561</v>
      </c>
      <c r="F21" s="44" t="n">
        <f aca="false">$B$5</f>
        <v>6115</v>
      </c>
      <c r="G21" s="43" t="n">
        <f aca="false">C21+D21-E21-F21</f>
        <v>12230</v>
      </c>
    </row>
    <row r="22" customFormat="false" ht="13.8" hidden="false" customHeight="false" outlineLevel="0" collapsed="false">
      <c r="B22" s="42" t="n">
        <v>14</v>
      </c>
      <c r="C22" s="44" t="n">
        <f aca="false">G21</f>
        <v>12230</v>
      </c>
      <c r="D22" s="44" t="n">
        <f aca="false">1.2*C22</f>
        <v>14676</v>
      </c>
      <c r="E22" s="44" t="n">
        <f aca="false">0.7*C22</f>
        <v>8561</v>
      </c>
      <c r="F22" s="44" t="n">
        <f aca="false">$B$5</f>
        <v>6115</v>
      </c>
      <c r="G22" s="43" t="n">
        <f aca="false">C22+D22-E22-F22</f>
        <v>12230</v>
      </c>
    </row>
    <row r="23" customFormat="false" ht="13.8" hidden="false" customHeight="false" outlineLevel="0" collapsed="false">
      <c r="B23" s="42" t="n">
        <v>15</v>
      </c>
      <c r="C23" s="44" t="n">
        <f aca="false">G22</f>
        <v>12230</v>
      </c>
      <c r="D23" s="44" t="n">
        <f aca="false">1.2*C23</f>
        <v>14676</v>
      </c>
      <c r="E23" s="44" t="n">
        <f aca="false">0.7*C23</f>
        <v>8561</v>
      </c>
      <c r="F23" s="44" t="n">
        <f aca="false">$B$5</f>
        <v>6115</v>
      </c>
      <c r="G23" s="43" t="n">
        <f aca="false">C23+D23-E23-F23</f>
        <v>12230</v>
      </c>
    </row>
    <row r="24" customFormat="false" ht="13.8" hidden="false" customHeight="false" outlineLevel="0" collapsed="false">
      <c r="B24" s="42" t="n">
        <v>16</v>
      </c>
      <c r="C24" s="44" t="n">
        <f aca="false">G23</f>
        <v>12230</v>
      </c>
      <c r="D24" s="44" t="n">
        <f aca="false">1.2*C24</f>
        <v>14676</v>
      </c>
      <c r="E24" s="44" t="n">
        <f aca="false">0.7*C24</f>
        <v>8561</v>
      </c>
      <c r="F24" s="44" t="n">
        <f aca="false">$B$5</f>
        <v>6115</v>
      </c>
      <c r="G24" s="43" t="n">
        <f aca="false">C24+D24-E24-F24</f>
        <v>12230</v>
      </c>
    </row>
    <row r="25" customFormat="false" ht="13.8" hidden="false" customHeight="false" outlineLevel="0" collapsed="false">
      <c r="B25" s="42" t="n">
        <v>17</v>
      </c>
      <c r="C25" s="44" t="n">
        <f aca="false">G24</f>
        <v>12230</v>
      </c>
      <c r="D25" s="44" t="n">
        <f aca="false">1.2*C25</f>
        <v>14676</v>
      </c>
      <c r="E25" s="44" t="n">
        <f aca="false">0.7*C25</f>
        <v>8561</v>
      </c>
      <c r="F25" s="44" t="n">
        <f aca="false">$B$5</f>
        <v>6115</v>
      </c>
      <c r="G25" s="43" t="n">
        <f aca="false">C25+D25-E25-F25</f>
        <v>12230</v>
      </c>
    </row>
    <row r="26" customFormat="false" ht="13.8" hidden="false" customHeight="false" outlineLevel="0" collapsed="false">
      <c r="B26" s="42" t="n">
        <v>18</v>
      </c>
      <c r="C26" s="44" t="n">
        <f aca="false">G25</f>
        <v>12230</v>
      </c>
      <c r="D26" s="44" t="n">
        <f aca="false">1.2*C26</f>
        <v>14676</v>
      </c>
      <c r="E26" s="44" t="n">
        <f aca="false">0.7*C26</f>
        <v>8561</v>
      </c>
      <c r="F26" s="44" t="n">
        <f aca="false">$B$5</f>
        <v>6115</v>
      </c>
      <c r="G26" s="43" t="n">
        <f aca="false">C26+D26-E26-F26</f>
        <v>12230</v>
      </c>
    </row>
    <row r="27" customFormat="false" ht="13.8" hidden="false" customHeight="false" outlineLevel="0" collapsed="false">
      <c r="B27" s="42" t="n">
        <v>19</v>
      </c>
      <c r="C27" s="44" t="n">
        <f aca="false">G26</f>
        <v>12230</v>
      </c>
      <c r="D27" s="44" t="n">
        <f aca="false">1.2*C27</f>
        <v>14676</v>
      </c>
      <c r="E27" s="44" t="n">
        <f aca="false">0.7*C27</f>
        <v>8561</v>
      </c>
      <c r="F27" s="44" t="n">
        <f aca="false">$B$5</f>
        <v>6115</v>
      </c>
      <c r="G27" s="43" t="n">
        <f aca="false">C27+D27-E27-F27</f>
        <v>12230</v>
      </c>
    </row>
    <row r="28" customFormat="false" ht="13.8" hidden="false" customHeight="false" outlineLevel="0" collapsed="false">
      <c r="B28" s="42" t="n">
        <v>20</v>
      </c>
      <c r="C28" s="44" t="n">
        <f aca="false">G27</f>
        <v>12230</v>
      </c>
      <c r="D28" s="44" t="n">
        <f aca="false">1.2*C28</f>
        <v>14676</v>
      </c>
      <c r="E28" s="44" t="n">
        <f aca="false">0.7*C28</f>
        <v>8561</v>
      </c>
      <c r="F28" s="44" t="n">
        <f aca="false">$B$5</f>
        <v>6115</v>
      </c>
      <c r="G28" s="43" t="n">
        <f aca="false">C28+D28-E28-F28</f>
        <v>12230</v>
      </c>
    </row>
    <row r="29" customFormat="false" ht="13.8" hidden="false" customHeight="false" outlineLevel="0" collapsed="false">
      <c r="B29" s="42" t="n">
        <v>21</v>
      </c>
      <c r="C29" s="44" t="n">
        <f aca="false">G28</f>
        <v>12230</v>
      </c>
      <c r="D29" s="44" t="n">
        <f aca="false">1.2*C29</f>
        <v>14676</v>
      </c>
      <c r="E29" s="44" t="n">
        <f aca="false">0.7*C29</f>
        <v>8561</v>
      </c>
      <c r="F29" s="44" t="n">
        <f aca="false">$B$5</f>
        <v>6115</v>
      </c>
      <c r="G29" s="43" t="n">
        <f aca="false">C29+D29-E29-F29</f>
        <v>12230</v>
      </c>
    </row>
    <row r="30" customFormat="false" ht="13.8" hidden="false" customHeight="false" outlineLevel="0" collapsed="false">
      <c r="B30" s="42" t="n">
        <v>22</v>
      </c>
      <c r="C30" s="44" t="n">
        <f aca="false">G29</f>
        <v>12230</v>
      </c>
      <c r="D30" s="44" t="n">
        <f aca="false">1.2*C30</f>
        <v>14676</v>
      </c>
      <c r="E30" s="44" t="n">
        <f aca="false">0.7*C30</f>
        <v>8561</v>
      </c>
      <c r="F30" s="44" t="n">
        <f aca="false">$B$5</f>
        <v>6115</v>
      </c>
      <c r="G30" s="43" t="n">
        <f aca="false">C30+D30-E30-F30</f>
        <v>12230</v>
      </c>
    </row>
    <row r="31" customFormat="false" ht="13.8" hidden="false" customHeight="false" outlineLevel="0" collapsed="false">
      <c r="B31" s="42" t="n">
        <v>23</v>
      </c>
      <c r="C31" s="44" t="n">
        <f aca="false">G30</f>
        <v>12230</v>
      </c>
      <c r="D31" s="44" t="n">
        <f aca="false">1.2*C31</f>
        <v>14676</v>
      </c>
      <c r="E31" s="44" t="n">
        <f aca="false">0.7*C31</f>
        <v>8561</v>
      </c>
      <c r="F31" s="44" t="n">
        <f aca="false">$B$5</f>
        <v>6115</v>
      </c>
      <c r="G31" s="43" t="n">
        <f aca="false">C31+D31-E31-F31</f>
        <v>12230</v>
      </c>
    </row>
    <row r="32" customFormat="false" ht="13.8" hidden="false" customHeight="false" outlineLevel="0" collapsed="false">
      <c r="B32" s="42" t="n">
        <v>24</v>
      </c>
      <c r="C32" s="44" t="n">
        <f aca="false">G31</f>
        <v>12230</v>
      </c>
      <c r="D32" s="44" t="n">
        <f aca="false">1.2*C32</f>
        <v>14676</v>
      </c>
      <c r="E32" s="44" t="n">
        <f aca="false">0.7*C32</f>
        <v>8561</v>
      </c>
      <c r="F32" s="44" t="n">
        <f aca="false">$B$5</f>
        <v>6115</v>
      </c>
      <c r="G32" s="43" t="n">
        <f aca="false">C32+D32-E32-F32</f>
        <v>12230</v>
      </c>
    </row>
    <row r="33" customFormat="false" ht="13.8" hidden="false" customHeight="false" outlineLevel="0" collapsed="false">
      <c r="B33" s="42" t="n">
        <v>25</v>
      </c>
      <c r="C33" s="44" t="n">
        <f aca="false">G32</f>
        <v>12230</v>
      </c>
      <c r="D33" s="44" t="n">
        <f aca="false">1.2*C33</f>
        <v>14676</v>
      </c>
      <c r="E33" s="44" t="n">
        <f aca="false">0.7*C33</f>
        <v>8561</v>
      </c>
      <c r="F33" s="44" t="n">
        <f aca="false">$B$5</f>
        <v>6115</v>
      </c>
      <c r="G33" s="43" t="n">
        <f aca="false">C33+D33-E33-F33</f>
        <v>12230</v>
      </c>
    </row>
    <row r="34" customFormat="false" ht="13.8" hidden="false" customHeight="false" outlineLevel="0" collapsed="false">
      <c r="B34" s="42" t="n">
        <v>26</v>
      </c>
      <c r="C34" s="44" t="n">
        <f aca="false">G33</f>
        <v>12230</v>
      </c>
      <c r="D34" s="44" t="n">
        <f aca="false">1.2*C34</f>
        <v>14676</v>
      </c>
      <c r="E34" s="44" t="n">
        <f aca="false">0.7*C34</f>
        <v>8561</v>
      </c>
      <c r="F34" s="44" t="n">
        <f aca="false">$B$5</f>
        <v>6115</v>
      </c>
      <c r="G34" s="43" t="n">
        <f aca="false">C34+D34-E34-F34</f>
        <v>12230</v>
      </c>
    </row>
    <row r="35" customFormat="false" ht="13.8" hidden="false" customHeight="false" outlineLevel="0" collapsed="false">
      <c r="B35" s="42" t="n">
        <v>27</v>
      </c>
      <c r="C35" s="44" t="n">
        <f aca="false">G34</f>
        <v>12230</v>
      </c>
      <c r="D35" s="44" t="n">
        <f aca="false">1.2*C35</f>
        <v>14676</v>
      </c>
      <c r="E35" s="44" t="n">
        <f aca="false">0.7*C35</f>
        <v>8561</v>
      </c>
      <c r="F35" s="44" t="n">
        <f aca="false">$B$5</f>
        <v>6115</v>
      </c>
      <c r="G35" s="43" t="n">
        <f aca="false">C35+D35-E35-F35</f>
        <v>12230</v>
      </c>
    </row>
    <row r="36" customFormat="false" ht="13.8" hidden="false" customHeight="false" outlineLevel="0" collapsed="false">
      <c r="B36" s="42" t="n">
        <v>28</v>
      </c>
      <c r="C36" s="44" t="n">
        <f aca="false">G35</f>
        <v>12230</v>
      </c>
      <c r="D36" s="44" t="n">
        <f aca="false">1.2*C36</f>
        <v>14676</v>
      </c>
      <c r="E36" s="44" t="n">
        <f aca="false">0.7*C36</f>
        <v>8561</v>
      </c>
      <c r="F36" s="44" t="n">
        <f aca="false">$B$5</f>
        <v>6115</v>
      </c>
      <c r="G36" s="43" t="n">
        <f aca="false">C36+D36-E36-F36</f>
        <v>12230</v>
      </c>
    </row>
    <row r="37" customFormat="false" ht="13.8" hidden="false" customHeight="false" outlineLevel="0" collapsed="false">
      <c r="B37" s="42" t="n">
        <v>29</v>
      </c>
      <c r="C37" s="44" t="n">
        <f aca="false">G36</f>
        <v>12230</v>
      </c>
      <c r="D37" s="44" t="n">
        <f aca="false">1.2*C37</f>
        <v>14676</v>
      </c>
      <c r="E37" s="44" t="n">
        <f aca="false">0.7*C37</f>
        <v>8561</v>
      </c>
      <c r="F37" s="44" t="n">
        <f aca="false">$B$5</f>
        <v>6115</v>
      </c>
      <c r="G37" s="43" t="n">
        <f aca="false">C37+D37-E37-F37</f>
        <v>12230</v>
      </c>
    </row>
    <row r="38" customFormat="false" ht="13.8" hidden="false" customHeight="false" outlineLevel="0" collapsed="false">
      <c r="B38" s="42" t="n">
        <v>30</v>
      </c>
      <c r="C38" s="44" t="n">
        <f aca="false">G37</f>
        <v>12230</v>
      </c>
      <c r="D38" s="44" t="n">
        <f aca="false">1.2*C38</f>
        <v>14676</v>
      </c>
      <c r="E38" s="44" t="n">
        <f aca="false">0.7*C38</f>
        <v>8561</v>
      </c>
      <c r="F38" s="44" t="n">
        <f aca="false">$B$5</f>
        <v>6115</v>
      </c>
      <c r="G38" s="43" t="n">
        <f aca="false">C38+D38-E38-F38</f>
        <v>12230</v>
      </c>
    </row>
    <row r="39" customFormat="false" ht="13.8" hidden="false" customHeight="false" outlineLevel="0" collapsed="false">
      <c r="B39" s="42" t="n">
        <v>31</v>
      </c>
      <c r="C39" s="44" t="n">
        <f aca="false">G38</f>
        <v>12230</v>
      </c>
      <c r="D39" s="44" t="n">
        <f aca="false">1.2*C39</f>
        <v>14676</v>
      </c>
      <c r="E39" s="44" t="n">
        <f aca="false">0.7*C39</f>
        <v>8561</v>
      </c>
      <c r="F39" s="44" t="n">
        <f aca="false">$B$5</f>
        <v>6115</v>
      </c>
      <c r="G39" s="43" t="n">
        <f aca="false">C39+D39-E39-F39</f>
        <v>12230</v>
      </c>
    </row>
    <row r="40" customFormat="false" ht="13.8" hidden="false" customHeight="false" outlineLevel="0" collapsed="false">
      <c r="B40" s="42" t="n">
        <v>32</v>
      </c>
      <c r="C40" s="44" t="n">
        <f aca="false">G39</f>
        <v>12230</v>
      </c>
      <c r="D40" s="44" t="n">
        <f aca="false">1.2*C40</f>
        <v>14676</v>
      </c>
      <c r="E40" s="44" t="n">
        <f aca="false">0.7*C40</f>
        <v>8561</v>
      </c>
      <c r="F40" s="44" t="n">
        <f aca="false">$B$5</f>
        <v>6115</v>
      </c>
      <c r="G40" s="43" t="n">
        <f aca="false">C40+D40-E40-F40</f>
        <v>12230</v>
      </c>
    </row>
    <row r="41" customFormat="false" ht="13.8" hidden="false" customHeight="false" outlineLevel="0" collapsed="false">
      <c r="B41" s="42" t="n">
        <v>33</v>
      </c>
      <c r="C41" s="44" t="n">
        <f aca="false">G40</f>
        <v>12230</v>
      </c>
      <c r="D41" s="44" t="n">
        <f aca="false">1.2*C41</f>
        <v>14676</v>
      </c>
      <c r="E41" s="44" t="n">
        <f aca="false">0.7*C41</f>
        <v>8561</v>
      </c>
      <c r="F41" s="44" t="n">
        <f aca="false">$B$5</f>
        <v>6115</v>
      </c>
      <c r="G41" s="43" t="n">
        <f aca="false">C41+D41-E41-F41</f>
        <v>12230</v>
      </c>
    </row>
    <row r="42" customFormat="false" ht="13.8" hidden="false" customHeight="false" outlineLevel="0" collapsed="false">
      <c r="B42" s="42" t="n">
        <v>34</v>
      </c>
      <c r="C42" s="44" t="n">
        <f aca="false">G41</f>
        <v>12230</v>
      </c>
      <c r="D42" s="44" t="n">
        <f aca="false">1.2*C42</f>
        <v>14676</v>
      </c>
      <c r="E42" s="44" t="n">
        <f aca="false">0.7*C42</f>
        <v>8561</v>
      </c>
      <c r="F42" s="44" t="n">
        <f aca="false">$B$5</f>
        <v>6115</v>
      </c>
      <c r="G42" s="43" t="n">
        <f aca="false">C42+D42-E42-F42</f>
        <v>12230</v>
      </c>
    </row>
    <row r="43" customFormat="false" ht="13.8" hidden="false" customHeight="false" outlineLevel="0" collapsed="false">
      <c r="B43" s="42" t="n">
        <v>35</v>
      </c>
      <c r="C43" s="44" t="n">
        <f aca="false">G42</f>
        <v>12230</v>
      </c>
      <c r="D43" s="44" t="n">
        <f aca="false">1.2*C43</f>
        <v>14676</v>
      </c>
      <c r="E43" s="44" t="n">
        <f aca="false">0.7*C43</f>
        <v>8561</v>
      </c>
      <c r="F43" s="44" t="n">
        <f aca="false">$B$5</f>
        <v>6115</v>
      </c>
      <c r="G43" s="43" t="n">
        <f aca="false">C43+D43-E43-F43</f>
        <v>12230</v>
      </c>
    </row>
    <row r="44" customFormat="false" ht="13.8" hidden="false" customHeight="false" outlineLevel="0" collapsed="false">
      <c r="B44" s="42" t="n">
        <v>36</v>
      </c>
      <c r="C44" s="44" t="n">
        <f aca="false">G43</f>
        <v>12230</v>
      </c>
      <c r="D44" s="44" t="n">
        <f aca="false">1.2*C44</f>
        <v>14676</v>
      </c>
      <c r="E44" s="44" t="n">
        <f aca="false">0.7*C44</f>
        <v>8561</v>
      </c>
      <c r="F44" s="44" t="n">
        <f aca="false">$B$5</f>
        <v>6115</v>
      </c>
      <c r="G44" s="43" t="n">
        <f aca="false">C44+D44-E44-F44</f>
        <v>12230</v>
      </c>
    </row>
    <row r="45" customFormat="false" ht="13.8" hidden="false" customHeight="false" outlineLevel="0" collapsed="false">
      <c r="B45" s="42" t="n">
        <v>37</v>
      </c>
      <c r="C45" s="44" t="n">
        <f aca="false">G44</f>
        <v>12230</v>
      </c>
      <c r="D45" s="44" t="n">
        <f aca="false">1.2*C45</f>
        <v>14676</v>
      </c>
      <c r="E45" s="44" t="n">
        <f aca="false">0.7*C45</f>
        <v>8561</v>
      </c>
      <c r="F45" s="44" t="n">
        <f aca="false">$B$5</f>
        <v>6115</v>
      </c>
      <c r="G45" s="43" t="n">
        <f aca="false">C45+D45-E45-F45</f>
        <v>12230</v>
      </c>
    </row>
    <row r="46" customFormat="false" ht="13.8" hidden="false" customHeight="false" outlineLevel="0" collapsed="false">
      <c r="B46" s="42" t="n">
        <v>38</v>
      </c>
      <c r="C46" s="44" t="n">
        <f aca="false">G45</f>
        <v>12230</v>
      </c>
      <c r="D46" s="44" t="n">
        <f aca="false">1.2*C46</f>
        <v>14676</v>
      </c>
      <c r="E46" s="44" t="n">
        <f aca="false">0.7*C46</f>
        <v>8561</v>
      </c>
      <c r="F46" s="44" t="n">
        <f aca="false">$B$5</f>
        <v>6115</v>
      </c>
      <c r="G46" s="43" t="n">
        <f aca="false">C46+D46-E46-F46</f>
        <v>12230</v>
      </c>
    </row>
    <row r="47" customFormat="false" ht="13.8" hidden="false" customHeight="false" outlineLevel="0" collapsed="false">
      <c r="B47" s="42" t="n">
        <v>39</v>
      </c>
      <c r="C47" s="44" t="n">
        <f aca="false">G46</f>
        <v>12230</v>
      </c>
      <c r="D47" s="44" t="n">
        <f aca="false">1.2*C47</f>
        <v>14676</v>
      </c>
      <c r="E47" s="44" t="n">
        <f aca="false">0.7*C47</f>
        <v>8561</v>
      </c>
      <c r="F47" s="44" t="n">
        <f aca="false">$B$5</f>
        <v>6115</v>
      </c>
      <c r="G47" s="43" t="n">
        <f aca="false">C47+D47-E47-F47</f>
        <v>12230</v>
      </c>
    </row>
    <row r="48" customFormat="false" ht="13.8" hidden="false" customHeight="false" outlineLevel="0" collapsed="false">
      <c r="B48" s="42" t="n">
        <v>40</v>
      </c>
      <c r="C48" s="44" t="n">
        <f aca="false">G47</f>
        <v>12230</v>
      </c>
      <c r="D48" s="44" t="n">
        <f aca="false">1.2*C48</f>
        <v>14676</v>
      </c>
      <c r="E48" s="44" t="n">
        <f aca="false">0.7*C48</f>
        <v>8561</v>
      </c>
      <c r="F48" s="44" t="n">
        <f aca="false">$B$5</f>
        <v>6115</v>
      </c>
      <c r="G48" s="43" t="n">
        <f aca="false">C48+D48-E48-F48</f>
        <v>12230</v>
      </c>
    </row>
    <row r="49" customFormat="false" ht="13.8" hidden="false" customHeight="false" outlineLevel="0" collapsed="false">
      <c r="B49" s="42" t="n">
        <v>41</v>
      </c>
      <c r="C49" s="44" t="n">
        <f aca="false">G48</f>
        <v>12230</v>
      </c>
      <c r="D49" s="44" t="n">
        <f aca="false">1.2*C49</f>
        <v>14676</v>
      </c>
      <c r="E49" s="44" t="n">
        <f aca="false">0.7*C49</f>
        <v>8561</v>
      </c>
      <c r="F49" s="44" t="n">
        <f aca="false">$B$5</f>
        <v>6115</v>
      </c>
      <c r="G49" s="43" t="n">
        <f aca="false">C49+D49-E49-F49</f>
        <v>12230</v>
      </c>
    </row>
    <row r="50" customFormat="false" ht="13.8" hidden="false" customHeight="false" outlineLevel="0" collapsed="false">
      <c r="B50" s="42" t="n">
        <v>42</v>
      </c>
      <c r="C50" s="44" t="n">
        <f aca="false">G49</f>
        <v>12230</v>
      </c>
      <c r="D50" s="44" t="n">
        <f aca="false">1.2*C50</f>
        <v>14676</v>
      </c>
      <c r="E50" s="44" t="n">
        <f aca="false">0.7*C50</f>
        <v>8561</v>
      </c>
      <c r="F50" s="44" t="n">
        <f aca="false">$B$5</f>
        <v>6115</v>
      </c>
      <c r="G50" s="43" t="n">
        <f aca="false">C50+D50-E50-F50</f>
        <v>12230</v>
      </c>
    </row>
    <row r="51" customFormat="false" ht="13.8" hidden="false" customHeight="false" outlineLevel="0" collapsed="false">
      <c r="B51" s="42" t="n">
        <v>43</v>
      </c>
      <c r="C51" s="44" t="n">
        <f aca="false">G50</f>
        <v>12230</v>
      </c>
      <c r="D51" s="44" t="n">
        <f aca="false">1.2*C51</f>
        <v>14676</v>
      </c>
      <c r="E51" s="44" t="n">
        <f aca="false">0.7*C51</f>
        <v>8561</v>
      </c>
      <c r="F51" s="44" t="n">
        <f aca="false">$B$5</f>
        <v>6115</v>
      </c>
      <c r="G51" s="43" t="n">
        <f aca="false">C51+D51-E51-F51</f>
        <v>12230</v>
      </c>
    </row>
    <row r="52" customFormat="false" ht="13.8" hidden="false" customHeight="false" outlineLevel="0" collapsed="false">
      <c r="B52" s="42" t="n">
        <v>44</v>
      </c>
      <c r="C52" s="44" t="n">
        <f aca="false">G51</f>
        <v>12230</v>
      </c>
      <c r="D52" s="44" t="n">
        <f aca="false">1.2*C52</f>
        <v>14676</v>
      </c>
      <c r="E52" s="44" t="n">
        <f aca="false">0.7*C52</f>
        <v>8561</v>
      </c>
      <c r="F52" s="44" t="n">
        <f aca="false">$B$5</f>
        <v>6115</v>
      </c>
      <c r="G52" s="43" t="n">
        <f aca="false">C52+D52-E52-F52</f>
        <v>12230</v>
      </c>
    </row>
    <row r="53" customFormat="false" ht="13.8" hidden="false" customHeight="false" outlineLevel="0" collapsed="false">
      <c r="B53" s="42" t="n">
        <v>45</v>
      </c>
      <c r="C53" s="44" t="n">
        <f aca="false">G52</f>
        <v>12230</v>
      </c>
      <c r="D53" s="44" t="n">
        <f aca="false">1.2*C53</f>
        <v>14676</v>
      </c>
      <c r="E53" s="44" t="n">
        <f aca="false">0.7*C53</f>
        <v>8561</v>
      </c>
      <c r="F53" s="44" t="n">
        <f aca="false">$B$5</f>
        <v>6115</v>
      </c>
      <c r="G53" s="43" t="n">
        <f aca="false">C53+D53-E53-F53</f>
        <v>12230</v>
      </c>
    </row>
    <row r="54" customFormat="false" ht="13.8" hidden="false" customHeight="false" outlineLevel="0" collapsed="false">
      <c r="B54" s="42" t="n">
        <v>46</v>
      </c>
      <c r="C54" s="44" t="n">
        <f aca="false">G53</f>
        <v>12230</v>
      </c>
      <c r="D54" s="44" t="n">
        <f aca="false">1.2*C54</f>
        <v>14676</v>
      </c>
      <c r="E54" s="44" t="n">
        <f aca="false">0.7*C54</f>
        <v>8561</v>
      </c>
      <c r="F54" s="44" t="n">
        <f aca="false">$B$5</f>
        <v>6115</v>
      </c>
      <c r="G54" s="43" t="n">
        <f aca="false">C54+D54-E54-F54</f>
        <v>12230</v>
      </c>
    </row>
    <row r="55" customFormat="false" ht="13.8" hidden="false" customHeight="false" outlineLevel="0" collapsed="false">
      <c r="B55" s="42" t="n">
        <v>47</v>
      </c>
      <c r="C55" s="44" t="n">
        <f aca="false">G54</f>
        <v>12230</v>
      </c>
      <c r="D55" s="44" t="n">
        <f aca="false">1.2*C55</f>
        <v>14676</v>
      </c>
      <c r="E55" s="44" t="n">
        <f aca="false">0.7*C55</f>
        <v>8561</v>
      </c>
      <c r="F55" s="44" t="n">
        <f aca="false">$B$5</f>
        <v>6115</v>
      </c>
      <c r="G55" s="43" t="n">
        <f aca="false">C55+D55-E55-F55</f>
        <v>12230</v>
      </c>
    </row>
    <row r="56" customFormat="false" ht="13.8" hidden="false" customHeight="false" outlineLevel="0" collapsed="false">
      <c r="B56" s="42" t="n">
        <v>48</v>
      </c>
      <c r="C56" s="44" t="n">
        <f aca="false">G55</f>
        <v>12230</v>
      </c>
      <c r="D56" s="44" t="n">
        <f aca="false">1.2*C56</f>
        <v>14676</v>
      </c>
      <c r="E56" s="44" t="n">
        <f aca="false">0.7*C56</f>
        <v>8561</v>
      </c>
      <c r="F56" s="44" t="n">
        <f aca="false">$B$5</f>
        <v>6115</v>
      </c>
      <c r="G56" s="43" t="n">
        <f aca="false">C56+D56-E56-F56</f>
        <v>12230</v>
      </c>
    </row>
    <row r="57" customFormat="false" ht="13.8" hidden="false" customHeight="false" outlineLevel="0" collapsed="false">
      <c r="B57" s="42" t="n">
        <v>49</v>
      </c>
      <c r="C57" s="44" t="n">
        <f aca="false">G56</f>
        <v>12230</v>
      </c>
      <c r="D57" s="44" t="n">
        <f aca="false">1.2*C57</f>
        <v>14676</v>
      </c>
      <c r="E57" s="44" t="n">
        <f aca="false">0.7*C57</f>
        <v>8561</v>
      </c>
      <c r="F57" s="44" t="n">
        <f aca="false">$B$5</f>
        <v>6115</v>
      </c>
      <c r="G57" s="43" t="n">
        <f aca="false">C57+D57-E57-F57</f>
        <v>12230</v>
      </c>
    </row>
    <row r="58" customFormat="false" ht="13.8" hidden="false" customHeight="false" outlineLevel="0" collapsed="false">
      <c r="B58" s="42" t="n">
        <v>50</v>
      </c>
      <c r="C58" s="44" t="n">
        <f aca="false">G57</f>
        <v>12230</v>
      </c>
      <c r="D58" s="44" t="n">
        <f aca="false">1.2*C58</f>
        <v>14676</v>
      </c>
      <c r="E58" s="44" t="n">
        <f aca="false">0.7*C58</f>
        <v>8561</v>
      </c>
      <c r="F58" s="44" t="n">
        <f aca="false">$B$5</f>
        <v>6115</v>
      </c>
      <c r="G58" s="43" t="n">
        <f aca="false">C58+D58-E58-F58</f>
        <v>12230</v>
      </c>
    </row>
    <row r="59" customFormat="false" ht="13.8" hidden="false" customHeight="false" outlineLevel="0" collapsed="false">
      <c r="B59" s="42" t="n">
        <v>51</v>
      </c>
      <c r="C59" s="44" t="n">
        <f aca="false">G58</f>
        <v>12230</v>
      </c>
      <c r="D59" s="44" t="n">
        <f aca="false">1.2*C59</f>
        <v>14676</v>
      </c>
      <c r="E59" s="44" t="n">
        <f aca="false">0.7*C59</f>
        <v>8561</v>
      </c>
      <c r="F59" s="44" t="n">
        <f aca="false">$B$5</f>
        <v>6115</v>
      </c>
      <c r="G59" s="43" t="n">
        <f aca="false">C59+D59-E59-F59</f>
        <v>12230</v>
      </c>
    </row>
    <row r="60" customFormat="false" ht="13.8" hidden="false" customHeight="false" outlineLevel="0" collapsed="false">
      <c r="B60" s="42" t="n">
        <v>52</v>
      </c>
      <c r="C60" s="44" t="n">
        <f aca="false">G59</f>
        <v>12230</v>
      </c>
      <c r="D60" s="44" t="n">
        <f aca="false">1.2*C60</f>
        <v>14676</v>
      </c>
      <c r="E60" s="44" t="n">
        <f aca="false">0.7*C60</f>
        <v>8561</v>
      </c>
      <c r="F60" s="44" t="n">
        <f aca="false">$B$5</f>
        <v>6115</v>
      </c>
      <c r="G60" s="43" t="n">
        <f aca="false">C60+D60-E60-F60</f>
        <v>12230</v>
      </c>
    </row>
    <row r="61" customFormat="false" ht="13.8" hidden="false" customHeight="false" outlineLevel="0" collapsed="false">
      <c r="B61" s="42" t="n">
        <v>53</v>
      </c>
      <c r="C61" s="44" t="n">
        <f aca="false">G60</f>
        <v>12230</v>
      </c>
      <c r="D61" s="44" t="n">
        <f aca="false">1.2*C61</f>
        <v>14676</v>
      </c>
      <c r="E61" s="44" t="n">
        <f aca="false">0.7*C61</f>
        <v>8561</v>
      </c>
      <c r="F61" s="44" t="n">
        <f aca="false">$B$5</f>
        <v>6115</v>
      </c>
      <c r="G61" s="43" t="n">
        <f aca="false">C61+D61-E61-F61</f>
        <v>12230</v>
      </c>
    </row>
    <row r="62" customFormat="false" ht="13.8" hidden="false" customHeight="false" outlineLevel="0" collapsed="false">
      <c r="B62" s="42" t="n">
        <v>54</v>
      </c>
      <c r="C62" s="44" t="n">
        <f aca="false">G61</f>
        <v>12230</v>
      </c>
      <c r="D62" s="44" t="n">
        <f aca="false">1.2*C62</f>
        <v>14676</v>
      </c>
      <c r="E62" s="44" t="n">
        <f aca="false">0.7*C62</f>
        <v>8561</v>
      </c>
      <c r="F62" s="44" t="n">
        <f aca="false">$B$5</f>
        <v>6115</v>
      </c>
      <c r="G62" s="43" t="n">
        <f aca="false">C62+D62-E62-F62</f>
        <v>12230</v>
      </c>
    </row>
    <row r="63" customFormat="false" ht="13.8" hidden="false" customHeight="false" outlineLevel="0" collapsed="false">
      <c r="B63" s="42" t="n">
        <v>55</v>
      </c>
      <c r="C63" s="44" t="n">
        <f aca="false">G62</f>
        <v>12230</v>
      </c>
      <c r="D63" s="44" t="n">
        <f aca="false">1.2*C63</f>
        <v>14676</v>
      </c>
      <c r="E63" s="44" t="n">
        <f aca="false">0.7*C63</f>
        <v>8561</v>
      </c>
      <c r="F63" s="44" t="n">
        <f aca="false">$B$5</f>
        <v>6115</v>
      </c>
      <c r="G63" s="43" t="n">
        <f aca="false">C63+D63-E63-F63</f>
        <v>12230</v>
      </c>
    </row>
    <row r="64" customFormat="false" ht="13.8" hidden="false" customHeight="false" outlineLevel="0" collapsed="false">
      <c r="B64" s="42" t="n">
        <v>56</v>
      </c>
      <c r="C64" s="44" t="n">
        <f aca="false">G63</f>
        <v>12230</v>
      </c>
      <c r="D64" s="44" t="n">
        <f aca="false">1.2*C64</f>
        <v>14676</v>
      </c>
      <c r="E64" s="44" t="n">
        <f aca="false">0.7*C64</f>
        <v>8561</v>
      </c>
      <c r="F64" s="44" t="n">
        <f aca="false">$B$5</f>
        <v>6115</v>
      </c>
      <c r="G64" s="43" t="n">
        <f aca="false">C64+D64-E64-F64</f>
        <v>12230</v>
      </c>
    </row>
    <row r="65" customFormat="false" ht="13.8" hidden="false" customHeight="false" outlineLevel="0" collapsed="false">
      <c r="B65" s="42" t="n">
        <v>57</v>
      </c>
      <c r="C65" s="44" t="n">
        <f aca="false">G64</f>
        <v>12230</v>
      </c>
      <c r="D65" s="44" t="n">
        <f aca="false">1.2*C65</f>
        <v>14676</v>
      </c>
      <c r="E65" s="44" t="n">
        <f aca="false">0.7*C65</f>
        <v>8561</v>
      </c>
      <c r="F65" s="44" t="n">
        <f aca="false">$B$5</f>
        <v>6115</v>
      </c>
      <c r="G65" s="43" t="n">
        <f aca="false">C65+D65-E65-F65</f>
        <v>12230</v>
      </c>
    </row>
    <row r="66" customFormat="false" ht="13.8" hidden="false" customHeight="false" outlineLevel="0" collapsed="false">
      <c r="B66" s="42" t="n">
        <v>58</v>
      </c>
      <c r="C66" s="44" t="n">
        <f aca="false">G65</f>
        <v>12230</v>
      </c>
      <c r="D66" s="44" t="n">
        <f aca="false">1.2*C66</f>
        <v>14676</v>
      </c>
      <c r="E66" s="44" t="n">
        <f aca="false">0.7*C66</f>
        <v>8561</v>
      </c>
      <c r="F66" s="44" t="n">
        <f aca="false">$B$5</f>
        <v>6115</v>
      </c>
      <c r="G66" s="43" t="n">
        <f aca="false">C66+D66-E66-F66</f>
        <v>12230</v>
      </c>
    </row>
    <row r="67" customFormat="false" ht="13.8" hidden="false" customHeight="false" outlineLevel="0" collapsed="false">
      <c r="B67" s="42" t="n">
        <v>59</v>
      </c>
      <c r="C67" s="44" t="n">
        <f aca="false">G66</f>
        <v>12230</v>
      </c>
      <c r="D67" s="44" t="n">
        <f aca="false">1.2*C67</f>
        <v>14676</v>
      </c>
      <c r="E67" s="44" t="n">
        <f aca="false">0.7*C67</f>
        <v>8561</v>
      </c>
      <c r="F67" s="44" t="n">
        <f aca="false">$B$5</f>
        <v>6115</v>
      </c>
      <c r="G67" s="43" t="n">
        <f aca="false">C67+D67-E67-F67</f>
        <v>12230</v>
      </c>
    </row>
    <row r="68" customFormat="false" ht="13.8" hidden="false" customHeight="false" outlineLevel="0" collapsed="false">
      <c r="B68" s="42" t="n">
        <v>60</v>
      </c>
      <c r="C68" s="44" t="n">
        <f aca="false">G67</f>
        <v>12230</v>
      </c>
      <c r="D68" s="44" t="n">
        <f aca="false">1.2*C68</f>
        <v>14676</v>
      </c>
      <c r="E68" s="44" t="n">
        <f aca="false">0.7*C68</f>
        <v>8561</v>
      </c>
      <c r="F68" s="44" t="n">
        <f aca="false">$B$5</f>
        <v>6115</v>
      </c>
      <c r="G68" s="43" t="n">
        <f aca="false">C68+D68-E68-F68</f>
        <v>12230</v>
      </c>
    </row>
    <row r="69" customFormat="false" ht="13.8" hidden="false" customHeight="false" outlineLevel="0" collapsed="false">
      <c r="B69" s="42" t="n">
        <v>61</v>
      </c>
      <c r="C69" s="44" t="n">
        <f aca="false">G68</f>
        <v>12230</v>
      </c>
      <c r="D69" s="44" t="n">
        <f aca="false">1.2*C69</f>
        <v>14676</v>
      </c>
      <c r="E69" s="44" t="n">
        <f aca="false">0.7*C69</f>
        <v>8561</v>
      </c>
      <c r="F69" s="44" t="n">
        <f aca="false">$B$5</f>
        <v>6115</v>
      </c>
      <c r="G69" s="43" t="n">
        <f aca="false">C69+D69-E69-F69</f>
        <v>12230</v>
      </c>
    </row>
    <row r="70" customFormat="false" ht="13.8" hidden="false" customHeight="false" outlineLevel="0" collapsed="false">
      <c r="B70" s="42" t="n">
        <v>62</v>
      </c>
      <c r="C70" s="44" t="n">
        <f aca="false">G69</f>
        <v>12230</v>
      </c>
      <c r="D70" s="44" t="n">
        <f aca="false">1.2*C70</f>
        <v>14676</v>
      </c>
      <c r="E70" s="44" t="n">
        <f aca="false">0.7*C70</f>
        <v>8561</v>
      </c>
      <c r="F70" s="44" t="n">
        <f aca="false">$B$5</f>
        <v>6115</v>
      </c>
      <c r="G70" s="43" t="n">
        <f aca="false">C70+D70-E70-F70</f>
        <v>12230</v>
      </c>
    </row>
    <row r="71" customFormat="false" ht="13.8" hidden="false" customHeight="false" outlineLevel="0" collapsed="false">
      <c r="B71" s="42" t="n">
        <v>63</v>
      </c>
      <c r="C71" s="44" t="n">
        <f aca="false">G70</f>
        <v>12230</v>
      </c>
      <c r="D71" s="44" t="n">
        <f aca="false">1.2*C71</f>
        <v>14676</v>
      </c>
      <c r="E71" s="44" t="n">
        <f aca="false">0.7*C71</f>
        <v>8561</v>
      </c>
      <c r="F71" s="44" t="n">
        <f aca="false">$B$5</f>
        <v>6115</v>
      </c>
      <c r="G71" s="43" t="n">
        <f aca="false">C71+D71-E71-F71</f>
        <v>12230</v>
      </c>
    </row>
    <row r="72" customFormat="false" ht="13.8" hidden="false" customHeight="false" outlineLevel="0" collapsed="false">
      <c r="B72" s="42" t="n">
        <v>64</v>
      </c>
      <c r="C72" s="44" t="n">
        <f aca="false">G71</f>
        <v>12230</v>
      </c>
      <c r="D72" s="44" t="n">
        <f aca="false">1.2*C72</f>
        <v>14676</v>
      </c>
      <c r="E72" s="44" t="n">
        <f aca="false">0.7*C72</f>
        <v>8561</v>
      </c>
      <c r="F72" s="44" t="n">
        <f aca="false">$B$5</f>
        <v>6115</v>
      </c>
      <c r="G72" s="43" t="n">
        <f aca="false">C72+D72-E72-F72</f>
        <v>12230</v>
      </c>
    </row>
    <row r="73" customFormat="false" ht="13.8" hidden="false" customHeight="false" outlineLevel="0" collapsed="false">
      <c r="B73" s="42" t="n">
        <v>65</v>
      </c>
      <c r="C73" s="44" t="n">
        <f aca="false">G72</f>
        <v>12230</v>
      </c>
      <c r="D73" s="44" t="n">
        <f aca="false">1.2*C73</f>
        <v>14676</v>
      </c>
      <c r="E73" s="44" t="n">
        <f aca="false">0.7*C73</f>
        <v>8561</v>
      </c>
      <c r="F73" s="44" t="n">
        <f aca="false">$B$5</f>
        <v>6115</v>
      </c>
      <c r="G73" s="43" t="n">
        <f aca="false">C73+D73-E73-F73</f>
        <v>12230</v>
      </c>
    </row>
    <row r="74" customFormat="false" ht="13.8" hidden="false" customHeight="false" outlineLevel="0" collapsed="false">
      <c r="B74" s="42" t="n">
        <v>66</v>
      </c>
      <c r="C74" s="44" t="n">
        <f aca="false">G73</f>
        <v>12230</v>
      </c>
      <c r="D74" s="44" t="n">
        <f aca="false">1.2*C74</f>
        <v>14676</v>
      </c>
      <c r="E74" s="44" t="n">
        <f aca="false">0.7*C74</f>
        <v>8561</v>
      </c>
      <c r="F74" s="44" t="n">
        <f aca="false">$B$5</f>
        <v>6115</v>
      </c>
      <c r="G74" s="43" t="n">
        <f aca="false">C74+D74-E74-F74</f>
        <v>12230</v>
      </c>
    </row>
    <row r="75" customFormat="false" ht="13.8" hidden="false" customHeight="false" outlineLevel="0" collapsed="false">
      <c r="B75" s="42" t="n">
        <v>67</v>
      </c>
      <c r="C75" s="44" t="n">
        <f aca="false">G74</f>
        <v>12230</v>
      </c>
      <c r="D75" s="44" t="n">
        <f aca="false">1.2*C75</f>
        <v>14676</v>
      </c>
      <c r="E75" s="44" t="n">
        <f aca="false">0.7*C75</f>
        <v>8561</v>
      </c>
      <c r="F75" s="44" t="n">
        <f aca="false">$B$5</f>
        <v>6115</v>
      </c>
      <c r="G75" s="43" t="n">
        <f aca="false">C75+D75-E75-F75</f>
        <v>12230</v>
      </c>
    </row>
    <row r="76" customFormat="false" ht="13.8" hidden="false" customHeight="false" outlineLevel="0" collapsed="false">
      <c r="B76" s="42" t="n">
        <v>68</v>
      </c>
      <c r="C76" s="44" t="n">
        <f aca="false">G75</f>
        <v>12230</v>
      </c>
      <c r="D76" s="44" t="n">
        <f aca="false">1.2*C76</f>
        <v>14676</v>
      </c>
      <c r="E76" s="44" t="n">
        <f aca="false">0.7*C76</f>
        <v>8561</v>
      </c>
      <c r="F76" s="44" t="n">
        <f aca="false">$B$5</f>
        <v>6115</v>
      </c>
      <c r="G76" s="43" t="n">
        <f aca="false">C76+D76-E76-F76</f>
        <v>12230</v>
      </c>
    </row>
    <row r="77" customFormat="false" ht="13.8" hidden="false" customHeight="false" outlineLevel="0" collapsed="false">
      <c r="B77" s="42" t="n">
        <v>69</v>
      </c>
      <c r="C77" s="44" t="n">
        <f aca="false">G76</f>
        <v>12230</v>
      </c>
      <c r="D77" s="44" t="n">
        <f aca="false">1.2*C77</f>
        <v>14676</v>
      </c>
      <c r="E77" s="44" t="n">
        <f aca="false">0.7*C77</f>
        <v>8561</v>
      </c>
      <c r="F77" s="44" t="n">
        <f aca="false">$B$5</f>
        <v>6115</v>
      </c>
      <c r="G77" s="43" t="n">
        <f aca="false">C77+D77-E77-F77</f>
        <v>12230</v>
      </c>
    </row>
    <row r="78" customFormat="false" ht="13.8" hidden="false" customHeight="false" outlineLevel="0" collapsed="false">
      <c r="B78" s="42" t="n">
        <v>70</v>
      </c>
      <c r="C78" s="44" t="n">
        <f aca="false">G77</f>
        <v>12230</v>
      </c>
      <c r="D78" s="44" t="n">
        <f aca="false">1.2*C78</f>
        <v>14676</v>
      </c>
      <c r="E78" s="44" t="n">
        <f aca="false">0.7*C78</f>
        <v>8561</v>
      </c>
      <c r="F78" s="44" t="n">
        <f aca="false">$B$5</f>
        <v>6115</v>
      </c>
      <c r="G78" s="43" t="n">
        <f aca="false">C78+D78-E78-F78</f>
        <v>12230</v>
      </c>
    </row>
    <row r="79" customFormat="false" ht="13.8" hidden="false" customHeight="false" outlineLevel="0" collapsed="false">
      <c r="B79" s="42" t="n">
        <v>71</v>
      </c>
      <c r="C79" s="44" t="n">
        <f aca="false">G78</f>
        <v>12230</v>
      </c>
      <c r="D79" s="44" t="n">
        <f aca="false">1.2*C79</f>
        <v>14676</v>
      </c>
      <c r="E79" s="44" t="n">
        <f aca="false">0.7*C79</f>
        <v>8561</v>
      </c>
      <c r="F79" s="44" t="n">
        <f aca="false">$B$5</f>
        <v>6115</v>
      </c>
      <c r="G79" s="43" t="n">
        <f aca="false">C79+D79-E79-F79</f>
        <v>12230</v>
      </c>
    </row>
    <row r="80" customFormat="false" ht="13.8" hidden="false" customHeight="false" outlineLevel="0" collapsed="false">
      <c r="B80" s="42" t="n">
        <v>72</v>
      </c>
      <c r="C80" s="44" t="n">
        <f aca="false">G79</f>
        <v>12230</v>
      </c>
      <c r="D80" s="44" t="n">
        <f aca="false">1.2*C80</f>
        <v>14676</v>
      </c>
      <c r="E80" s="44" t="n">
        <f aca="false">0.7*C80</f>
        <v>8561</v>
      </c>
      <c r="F80" s="44" t="n">
        <f aca="false">$B$5</f>
        <v>6115</v>
      </c>
      <c r="G80" s="43" t="n">
        <f aca="false">C80+D80-E80-F80</f>
        <v>12230</v>
      </c>
    </row>
    <row r="81" customFormat="false" ht="13.8" hidden="false" customHeight="false" outlineLevel="0" collapsed="false">
      <c r="B81" s="42" t="n">
        <v>73</v>
      </c>
      <c r="C81" s="44" t="n">
        <f aca="false">G80</f>
        <v>12230</v>
      </c>
      <c r="D81" s="44" t="n">
        <f aca="false">1.2*C81</f>
        <v>14676</v>
      </c>
      <c r="E81" s="44" t="n">
        <f aca="false">0.7*C81</f>
        <v>8561</v>
      </c>
      <c r="F81" s="44" t="n">
        <f aca="false">$B$5</f>
        <v>6115</v>
      </c>
      <c r="G81" s="43" t="n">
        <f aca="false">C81+D81-E81-F81</f>
        <v>12230</v>
      </c>
    </row>
    <row r="82" customFormat="false" ht="13.8" hidden="false" customHeight="false" outlineLevel="0" collapsed="false">
      <c r="B82" s="42" t="n">
        <v>74</v>
      </c>
      <c r="C82" s="44" t="n">
        <f aca="false">G81</f>
        <v>12230</v>
      </c>
      <c r="D82" s="44" t="n">
        <f aca="false">1.2*C82</f>
        <v>14676</v>
      </c>
      <c r="E82" s="44" t="n">
        <f aca="false">0.7*C82</f>
        <v>8561</v>
      </c>
      <c r="F82" s="44" t="n">
        <f aca="false">$B$5</f>
        <v>6115</v>
      </c>
      <c r="G82" s="43" t="n">
        <f aca="false">C82+D82-E82-F82</f>
        <v>12230</v>
      </c>
    </row>
    <row r="83" customFormat="false" ht="13.8" hidden="false" customHeight="false" outlineLevel="0" collapsed="false">
      <c r="B83" s="42" t="n">
        <v>75</v>
      </c>
      <c r="C83" s="44" t="n">
        <f aca="false">G82</f>
        <v>12230</v>
      </c>
      <c r="D83" s="44" t="n">
        <f aca="false">1.2*C83</f>
        <v>14676</v>
      </c>
      <c r="E83" s="44" t="n">
        <f aca="false">0.7*C83</f>
        <v>8561</v>
      </c>
      <c r="F83" s="44" t="n">
        <f aca="false">$B$5</f>
        <v>6115</v>
      </c>
      <c r="G83" s="43" t="n">
        <f aca="false">C83+D83-E83-F83</f>
        <v>12230</v>
      </c>
    </row>
    <row r="84" customFormat="false" ht="13.8" hidden="false" customHeight="false" outlineLevel="0" collapsed="false">
      <c r="B84" s="42" t="n">
        <v>76</v>
      </c>
      <c r="C84" s="44" t="n">
        <f aca="false">G83</f>
        <v>12230</v>
      </c>
      <c r="D84" s="44" t="n">
        <f aca="false">1.2*C84</f>
        <v>14676</v>
      </c>
      <c r="E84" s="44" t="n">
        <f aca="false">0.7*C84</f>
        <v>8561</v>
      </c>
      <c r="F84" s="44" t="n">
        <f aca="false">$B$5</f>
        <v>6115</v>
      </c>
      <c r="G84" s="43" t="n">
        <f aca="false">C84+D84-E84-F84</f>
        <v>12230</v>
      </c>
    </row>
    <row r="85" customFormat="false" ht="13.8" hidden="false" customHeight="false" outlineLevel="0" collapsed="false">
      <c r="B85" s="42" t="n">
        <v>77</v>
      </c>
      <c r="C85" s="44" t="n">
        <f aca="false">G84</f>
        <v>12230</v>
      </c>
      <c r="D85" s="44" t="n">
        <f aca="false">1.2*C85</f>
        <v>14676</v>
      </c>
      <c r="E85" s="44" t="n">
        <f aca="false">0.7*C85</f>
        <v>8561</v>
      </c>
      <c r="F85" s="44" t="n">
        <f aca="false">$B$5</f>
        <v>6115</v>
      </c>
      <c r="G85" s="43" t="n">
        <f aca="false">C85+D85-E85-F85</f>
        <v>12230</v>
      </c>
    </row>
    <row r="86" customFormat="false" ht="13.8" hidden="false" customHeight="false" outlineLevel="0" collapsed="false">
      <c r="B86" s="42" t="n">
        <v>78</v>
      </c>
      <c r="C86" s="44" t="n">
        <f aca="false">G85</f>
        <v>12230</v>
      </c>
      <c r="D86" s="44" t="n">
        <f aca="false">1.2*C86</f>
        <v>14676</v>
      </c>
      <c r="E86" s="44" t="n">
        <f aca="false">0.7*C86</f>
        <v>8561</v>
      </c>
      <c r="F86" s="44" t="n">
        <f aca="false">$B$5</f>
        <v>6115</v>
      </c>
      <c r="G86" s="43" t="n">
        <f aca="false">C86+D86-E86-F86</f>
        <v>12230</v>
      </c>
    </row>
    <row r="87" customFormat="false" ht="13.8" hidden="false" customHeight="false" outlineLevel="0" collapsed="false">
      <c r="B87" s="42" t="n">
        <v>79</v>
      </c>
      <c r="C87" s="44" t="n">
        <f aca="false">G86</f>
        <v>12230</v>
      </c>
      <c r="D87" s="44" t="n">
        <f aca="false">1.2*C87</f>
        <v>14676</v>
      </c>
      <c r="E87" s="44" t="n">
        <f aca="false">0.7*C87</f>
        <v>8561</v>
      </c>
      <c r="F87" s="44" t="n">
        <f aca="false">$B$5</f>
        <v>6115</v>
      </c>
      <c r="G87" s="43" t="n">
        <f aca="false">C87+D87-E87-F87</f>
        <v>12230</v>
      </c>
    </row>
    <row r="88" customFormat="false" ht="13.8" hidden="false" customHeight="false" outlineLevel="0" collapsed="false">
      <c r="B88" s="42" t="n">
        <v>80</v>
      </c>
      <c r="C88" s="44" t="n">
        <f aca="false">G87</f>
        <v>12230</v>
      </c>
      <c r="D88" s="44" t="n">
        <f aca="false">1.2*C88</f>
        <v>14676</v>
      </c>
      <c r="E88" s="44" t="n">
        <f aca="false">0.7*C88</f>
        <v>8561</v>
      </c>
      <c r="F88" s="44" t="n">
        <f aca="false">$B$5</f>
        <v>6115</v>
      </c>
      <c r="G88" s="43" t="n">
        <f aca="false">C88+D88-E88-F88</f>
        <v>12230</v>
      </c>
    </row>
    <row r="89" customFormat="false" ht="13.8" hidden="false" customHeight="false" outlineLevel="0" collapsed="false">
      <c r="B89" s="42" t="n">
        <v>81</v>
      </c>
      <c r="C89" s="44" t="n">
        <f aca="false">G88</f>
        <v>12230</v>
      </c>
      <c r="D89" s="44" t="n">
        <f aca="false">1.2*C89</f>
        <v>14676</v>
      </c>
      <c r="E89" s="44" t="n">
        <f aca="false">0.7*C89</f>
        <v>8561</v>
      </c>
      <c r="F89" s="44" t="n">
        <f aca="false">$B$5</f>
        <v>6115</v>
      </c>
      <c r="G89" s="43" t="n">
        <f aca="false">C89+D89-E89-F89</f>
        <v>12230</v>
      </c>
    </row>
    <row r="90" customFormat="false" ht="13.8" hidden="false" customHeight="false" outlineLevel="0" collapsed="false">
      <c r="B90" s="42" t="n">
        <v>82</v>
      </c>
      <c r="C90" s="44" t="n">
        <f aca="false">G89</f>
        <v>12230</v>
      </c>
      <c r="D90" s="44" t="n">
        <f aca="false">1.2*C90</f>
        <v>14676</v>
      </c>
      <c r="E90" s="44" t="n">
        <f aca="false">0.7*C90</f>
        <v>8561</v>
      </c>
      <c r="F90" s="44" t="n">
        <f aca="false">$B$5</f>
        <v>6115</v>
      </c>
      <c r="G90" s="43" t="n">
        <f aca="false">C90+D90-E90-F90</f>
        <v>12230</v>
      </c>
    </row>
    <row r="91" customFormat="false" ht="13.8" hidden="false" customHeight="false" outlineLevel="0" collapsed="false">
      <c r="B91" s="42" t="n">
        <v>83</v>
      </c>
      <c r="C91" s="44" t="n">
        <f aca="false">G90</f>
        <v>12230</v>
      </c>
      <c r="D91" s="44" t="n">
        <f aca="false">1.2*C91</f>
        <v>14676</v>
      </c>
      <c r="E91" s="44" t="n">
        <f aca="false">0.7*C91</f>
        <v>8561</v>
      </c>
      <c r="F91" s="44" t="n">
        <f aca="false">$B$5</f>
        <v>6115</v>
      </c>
      <c r="G91" s="43" t="n">
        <f aca="false">C91+D91-E91-F91</f>
        <v>12230</v>
      </c>
    </row>
    <row r="92" customFormat="false" ht="13.8" hidden="false" customHeight="false" outlineLevel="0" collapsed="false">
      <c r="B92" s="42" t="n">
        <v>84</v>
      </c>
      <c r="C92" s="44" t="n">
        <f aca="false">G91</f>
        <v>12230</v>
      </c>
      <c r="D92" s="44" t="n">
        <f aca="false">1.2*C92</f>
        <v>14676</v>
      </c>
      <c r="E92" s="44" t="n">
        <f aca="false">0.7*C92</f>
        <v>8561</v>
      </c>
      <c r="F92" s="44" t="n">
        <f aca="false">$B$5</f>
        <v>6115</v>
      </c>
      <c r="G92" s="43" t="n">
        <f aca="false">C92+D92-E92-F92</f>
        <v>12230</v>
      </c>
    </row>
    <row r="93" customFormat="false" ht="13.8" hidden="false" customHeight="false" outlineLevel="0" collapsed="false">
      <c r="B93" s="42" t="n">
        <v>85</v>
      </c>
      <c r="C93" s="44" t="n">
        <f aca="false">G92</f>
        <v>12230</v>
      </c>
      <c r="D93" s="44" t="n">
        <f aca="false">1.2*C93</f>
        <v>14676</v>
      </c>
      <c r="E93" s="44" t="n">
        <f aca="false">0.7*C93</f>
        <v>8561</v>
      </c>
      <c r="F93" s="44" t="n">
        <f aca="false">$B$5</f>
        <v>6115</v>
      </c>
      <c r="G93" s="43" t="n">
        <f aca="false">C93+D93-E93-F93</f>
        <v>12230</v>
      </c>
    </row>
    <row r="94" customFormat="false" ht="13.8" hidden="false" customHeight="false" outlineLevel="0" collapsed="false">
      <c r="B94" s="42" t="n">
        <v>86</v>
      </c>
      <c r="C94" s="44" t="n">
        <f aca="false">G93</f>
        <v>12230</v>
      </c>
      <c r="D94" s="44" t="n">
        <f aca="false">1.2*C94</f>
        <v>14676</v>
      </c>
      <c r="E94" s="44" t="n">
        <f aca="false">0.7*C94</f>
        <v>8561</v>
      </c>
      <c r="F94" s="44" t="n">
        <f aca="false">$B$5</f>
        <v>6115</v>
      </c>
      <c r="G94" s="43" t="n">
        <f aca="false">C94+D94-E94-F94</f>
        <v>12230</v>
      </c>
    </row>
    <row r="95" customFormat="false" ht="13.8" hidden="false" customHeight="false" outlineLevel="0" collapsed="false">
      <c r="B95" s="42" t="n">
        <v>87</v>
      </c>
      <c r="C95" s="44" t="n">
        <f aca="false">G94</f>
        <v>12230</v>
      </c>
      <c r="D95" s="44" t="n">
        <f aca="false">1.2*C95</f>
        <v>14676</v>
      </c>
      <c r="E95" s="44" t="n">
        <f aca="false">0.7*C95</f>
        <v>8561</v>
      </c>
      <c r="F95" s="44" t="n">
        <f aca="false">$B$5</f>
        <v>6115</v>
      </c>
      <c r="G95" s="43" t="n">
        <f aca="false">C95+D95-E95-F95</f>
        <v>12230</v>
      </c>
    </row>
    <row r="96" customFormat="false" ht="13.8" hidden="false" customHeight="false" outlineLevel="0" collapsed="false">
      <c r="B96" s="42" t="n">
        <v>88</v>
      </c>
      <c r="C96" s="44" t="n">
        <f aca="false">G95</f>
        <v>12230</v>
      </c>
      <c r="D96" s="44" t="n">
        <f aca="false">1.2*C96</f>
        <v>14676</v>
      </c>
      <c r="E96" s="44" t="n">
        <f aca="false">0.7*C96</f>
        <v>8561</v>
      </c>
      <c r="F96" s="44" t="n">
        <f aca="false">$B$5</f>
        <v>6115</v>
      </c>
      <c r="G96" s="43" t="n">
        <f aca="false">C96+D96-E96-F96</f>
        <v>12230</v>
      </c>
    </row>
    <row r="97" customFormat="false" ht="13.8" hidden="false" customHeight="false" outlineLevel="0" collapsed="false">
      <c r="B97" s="42" t="n">
        <v>89</v>
      </c>
      <c r="C97" s="44" t="n">
        <f aca="false">G96</f>
        <v>12230</v>
      </c>
      <c r="D97" s="44" t="n">
        <f aca="false">1.2*C97</f>
        <v>14676</v>
      </c>
      <c r="E97" s="44" t="n">
        <f aca="false">0.7*C97</f>
        <v>8561</v>
      </c>
      <c r="F97" s="44" t="n">
        <f aca="false">$B$5</f>
        <v>6115</v>
      </c>
      <c r="G97" s="43" t="n">
        <f aca="false">C97+D97-E97-F97</f>
        <v>12230</v>
      </c>
    </row>
    <row r="98" customFormat="false" ht="13.8" hidden="false" customHeight="false" outlineLevel="0" collapsed="false">
      <c r="B98" s="42" t="n">
        <v>90</v>
      </c>
      <c r="C98" s="44" t="n">
        <f aca="false">G97</f>
        <v>12230</v>
      </c>
      <c r="D98" s="44" t="n">
        <f aca="false">1.2*C98</f>
        <v>14676</v>
      </c>
      <c r="E98" s="44" t="n">
        <f aca="false">0.7*C98</f>
        <v>8561</v>
      </c>
      <c r="F98" s="44" t="n">
        <f aca="false">$B$5</f>
        <v>6115</v>
      </c>
      <c r="G98" s="43" t="n">
        <f aca="false">C98+D98-E98-F98</f>
        <v>12230</v>
      </c>
    </row>
    <row r="99" customFormat="false" ht="13.8" hidden="false" customHeight="false" outlineLevel="0" collapsed="false">
      <c r="B99" s="42" t="n">
        <v>91</v>
      </c>
      <c r="C99" s="44" t="n">
        <f aca="false">G98</f>
        <v>12230</v>
      </c>
      <c r="D99" s="44" t="n">
        <f aca="false">1.2*C99</f>
        <v>14676</v>
      </c>
      <c r="E99" s="44" t="n">
        <f aca="false">0.7*C99</f>
        <v>8561</v>
      </c>
      <c r="F99" s="44" t="n">
        <f aca="false">$B$5</f>
        <v>6115</v>
      </c>
      <c r="G99" s="43" t="n">
        <f aca="false">C99+D99-E99-F99</f>
        <v>12230</v>
      </c>
    </row>
    <row r="100" customFormat="false" ht="13.8" hidden="false" customHeight="false" outlineLevel="0" collapsed="false">
      <c r="B100" s="42" t="n">
        <v>92</v>
      </c>
      <c r="C100" s="44" t="n">
        <f aca="false">G99</f>
        <v>12230</v>
      </c>
      <c r="D100" s="44" t="n">
        <f aca="false">1.2*C100</f>
        <v>14676</v>
      </c>
      <c r="E100" s="44" t="n">
        <f aca="false">0.7*C100</f>
        <v>8561</v>
      </c>
      <c r="F100" s="44" t="n">
        <f aca="false">$B$5</f>
        <v>6115</v>
      </c>
      <c r="G100" s="43" t="n">
        <f aca="false">C100+D100-E100-F100</f>
        <v>12230</v>
      </c>
    </row>
    <row r="101" customFormat="false" ht="13.8" hidden="false" customHeight="false" outlineLevel="0" collapsed="false">
      <c r="B101" s="42" t="n">
        <v>93</v>
      </c>
      <c r="C101" s="44" t="n">
        <f aca="false">G100</f>
        <v>12230</v>
      </c>
      <c r="D101" s="44" t="n">
        <f aca="false">1.2*C101</f>
        <v>14676</v>
      </c>
      <c r="E101" s="44" t="n">
        <f aca="false">0.7*C101</f>
        <v>8561</v>
      </c>
      <c r="F101" s="44" t="n">
        <f aca="false">$B$5</f>
        <v>6115</v>
      </c>
      <c r="G101" s="43" t="n">
        <f aca="false">C101+D101-E101-F101</f>
        <v>12230</v>
      </c>
    </row>
    <row r="102" customFormat="false" ht="13.8" hidden="false" customHeight="false" outlineLevel="0" collapsed="false">
      <c r="B102" s="42" t="n">
        <v>94</v>
      </c>
      <c r="C102" s="44" t="n">
        <f aca="false">G101</f>
        <v>12230</v>
      </c>
      <c r="D102" s="44" t="n">
        <f aca="false">1.2*C102</f>
        <v>14676</v>
      </c>
      <c r="E102" s="44" t="n">
        <f aca="false">0.7*C102</f>
        <v>8561</v>
      </c>
      <c r="F102" s="44" t="n">
        <f aca="false">$B$5</f>
        <v>6115</v>
      </c>
      <c r="G102" s="43" t="n">
        <f aca="false">C102+D102-E102-F102</f>
        <v>12230</v>
      </c>
    </row>
    <row r="103" customFormat="false" ht="13.8" hidden="false" customHeight="false" outlineLevel="0" collapsed="false">
      <c r="B103" s="42" t="n">
        <v>95</v>
      </c>
      <c r="C103" s="44" t="n">
        <f aca="false">G102</f>
        <v>12230</v>
      </c>
      <c r="D103" s="44" t="n">
        <f aca="false">1.2*C103</f>
        <v>14676</v>
      </c>
      <c r="E103" s="44" t="n">
        <f aca="false">0.7*C103</f>
        <v>8561</v>
      </c>
      <c r="F103" s="44" t="n">
        <f aca="false">$B$5</f>
        <v>6115</v>
      </c>
      <c r="G103" s="43" t="n">
        <f aca="false">C103+D103-E103-F103</f>
        <v>12230</v>
      </c>
    </row>
    <row r="104" customFormat="false" ht="13.8" hidden="false" customHeight="false" outlineLevel="0" collapsed="false">
      <c r="B104" s="42" t="n">
        <v>96</v>
      </c>
      <c r="C104" s="44" t="n">
        <f aca="false">G103</f>
        <v>12230</v>
      </c>
      <c r="D104" s="44" t="n">
        <f aca="false">1.2*C104</f>
        <v>14676</v>
      </c>
      <c r="E104" s="44" t="n">
        <f aca="false">0.7*C104</f>
        <v>8561</v>
      </c>
      <c r="F104" s="44" t="n">
        <f aca="false">$B$5</f>
        <v>6115</v>
      </c>
      <c r="G104" s="43" t="n">
        <f aca="false">C104+D104-E104-F104</f>
        <v>12230</v>
      </c>
    </row>
    <row r="105" customFormat="false" ht="13.8" hidden="false" customHeight="false" outlineLevel="0" collapsed="false">
      <c r="B105" s="42" t="n">
        <v>97</v>
      </c>
      <c r="C105" s="44" t="n">
        <f aca="false">G104</f>
        <v>12230</v>
      </c>
      <c r="D105" s="44" t="n">
        <f aca="false">1.2*C105</f>
        <v>14676</v>
      </c>
      <c r="E105" s="44" t="n">
        <f aca="false">0.7*C105</f>
        <v>8561</v>
      </c>
      <c r="F105" s="44" t="n">
        <f aca="false">$B$5</f>
        <v>6115</v>
      </c>
      <c r="G105" s="43" t="n">
        <f aca="false">C105+D105-E105-F105</f>
        <v>12230</v>
      </c>
    </row>
    <row r="106" customFormat="false" ht="13.8" hidden="false" customHeight="false" outlineLevel="0" collapsed="false">
      <c r="B106" s="42" t="n">
        <v>98</v>
      </c>
      <c r="C106" s="44" t="n">
        <f aca="false">G105</f>
        <v>12230</v>
      </c>
      <c r="D106" s="44" t="n">
        <f aca="false">1.2*C106</f>
        <v>14676</v>
      </c>
      <c r="E106" s="44" t="n">
        <f aca="false">0.7*C106</f>
        <v>8561</v>
      </c>
      <c r="F106" s="44" t="n">
        <f aca="false">$B$5</f>
        <v>6115</v>
      </c>
      <c r="G106" s="43" t="n">
        <f aca="false">C106+D106-E106-F106</f>
        <v>12230</v>
      </c>
    </row>
    <row r="107" customFormat="false" ht="13.8" hidden="false" customHeight="false" outlineLevel="0" collapsed="false">
      <c r="B107" s="42" t="n">
        <v>99</v>
      </c>
      <c r="C107" s="44" t="n">
        <f aca="false">G106</f>
        <v>12230</v>
      </c>
      <c r="D107" s="44" t="n">
        <f aca="false">1.2*C107</f>
        <v>14676</v>
      </c>
      <c r="E107" s="44" t="n">
        <f aca="false">0.7*C107</f>
        <v>8561</v>
      </c>
      <c r="F107" s="44" t="n">
        <f aca="false">$B$5</f>
        <v>6115</v>
      </c>
      <c r="G107" s="43" t="n">
        <f aca="false">C107+D107-E107-F107</f>
        <v>12230</v>
      </c>
    </row>
    <row r="108" customFormat="false" ht="13.8" hidden="false" customHeight="false" outlineLevel="0" collapsed="false">
      <c r="B108" s="45" t="n">
        <v>100</v>
      </c>
      <c r="C108" s="44" t="n">
        <f aca="false">G107</f>
        <v>12230</v>
      </c>
      <c r="D108" s="44" t="n">
        <f aca="false">1.2*C108</f>
        <v>14676</v>
      </c>
      <c r="E108" s="44" t="n">
        <f aca="false">0.7*C108</f>
        <v>8561</v>
      </c>
      <c r="F108" s="44" t="n">
        <f aca="false">$B$5</f>
        <v>6115</v>
      </c>
      <c r="G108" s="43" t="n">
        <f aca="false">C108+D108-E108-F108</f>
        <v>12230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2023-09-28T10:07:04Z</dcterms:created>
  <dc:creator/>
  <dc:description/>
  <dc:language>en-IN</dc:language>
  <cp:lastModifiedBy/>
  <dcterms:modified xsi:type="dcterms:W3CDTF">2023-11-04T22:56:18Z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