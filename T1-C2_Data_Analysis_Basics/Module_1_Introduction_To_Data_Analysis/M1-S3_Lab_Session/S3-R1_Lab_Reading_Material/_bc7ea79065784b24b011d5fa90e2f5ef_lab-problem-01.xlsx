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 defaultThemeVersion="166925"/>
  <xr:revisionPtr revIDLastSave="227" documentId="11_E60897F41BE170836B02CE998F75CCDC64E183C8" xr6:coauthVersionLast="47" xr6:coauthVersionMax="47" xr10:uidLastSave="{933689DF-9672-478D-873C-1B0ED3F8E562}"/>
  <bookViews>
    <workbookView xWindow="240" yWindow="105" windowWidth="14805" windowHeight="8010" firstSheet="3" xr2:uid="{00000000-000D-0000-FFFF-FFFF00000000}"/>
  </bookViews>
  <sheets>
    <sheet name="week01-problem1" sheetId="1" r:id="rId1"/>
    <sheet name="week01-problem2" sheetId="2" r:id="rId2"/>
    <sheet name="week01-problem3" sheetId="3" r:id="rId3"/>
    <sheet name="week01-problem4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9" i="4"/>
  <c r="E9" i="4"/>
  <c r="D9" i="4"/>
  <c r="C9" i="4"/>
  <c r="B3" i="3"/>
  <c r="H12" i="2"/>
</calcChain>
</file>

<file path=xl/sharedStrings.xml><?xml version="1.0" encoding="utf-8"?>
<sst xmlns="http://schemas.openxmlformats.org/spreadsheetml/2006/main" count="144" uniqueCount="82">
  <si>
    <t>Weightage</t>
  </si>
  <si>
    <t>Homework</t>
  </si>
  <si>
    <t>Exam</t>
  </si>
  <si>
    <t>Roll Number</t>
  </si>
  <si>
    <t>Homework 1</t>
  </si>
  <si>
    <t>Homework 2</t>
  </si>
  <si>
    <t>Homework 3</t>
  </si>
  <si>
    <t>Homework 4</t>
  </si>
  <si>
    <t>Homework 5</t>
  </si>
  <si>
    <t>Homeworks Average
 (out of 100)</t>
  </si>
  <si>
    <t>Exam 1</t>
  </si>
  <si>
    <t>Exam 2</t>
  </si>
  <si>
    <t>Exam 3</t>
  </si>
  <si>
    <t>Exams Average 
(out of 100)</t>
  </si>
  <si>
    <t>Total marks
(out of 100)</t>
  </si>
  <si>
    <t>Person ID</t>
  </si>
  <si>
    <t>Height (in centimeters)</t>
  </si>
  <si>
    <t>Weight (in grams)</t>
  </si>
  <si>
    <t>BMI</t>
  </si>
  <si>
    <t>Given Height of person in centimeters, weight of person in grams, compute Body Mass Index (BMI). Where BMI = 703 * weight/(height * height). Where weight is in Kilograms and height is in meters</t>
  </si>
  <si>
    <t>Input 1</t>
  </si>
  <si>
    <t>Input 2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</si>
  <si>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</si>
  <si>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</si>
  <si>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</si>
  <si>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</si>
  <si>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</si>
  <si>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</si>
  <si>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</si>
  <si>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</si>
  <si>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</si>
  <si>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</si>
  <si>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</si>
  <si>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</si>
  <si>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</si>
  <si>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</si>
  <si>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</si>
  <si>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</si>
  <si>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</si>
  <si>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</si>
  <si>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</si>
  <si>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</si>
  <si>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</si>
  <si>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</si>
  <si>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</si>
  <si>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</si>
  <si>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</si>
  <si>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</si>
  <si>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</si>
  <si>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</si>
  <si>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</si>
  <si>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</si>
  <si>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</si>
  <si>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</si>
  <si>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</si>
  <si>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</si>
  <si>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</si>
  <si>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</si>
  <si>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</si>
  <si>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</si>
  <si>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</si>
  <si>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</si>
  <si>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</si>
  <si>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</si>
  <si>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</si>
  <si>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</si>
  <si>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</si>
  <si>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</si>
  <si>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</si>
  <si>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</si>
  <si>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</si>
  <si>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</si>
  <si>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</si>
  <si>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Initial number of fish</t>
  </si>
  <si>
    <t>Number of births per fish
(birth rate)</t>
  </si>
  <si>
    <t>Number of deaths per fish
(death rate)</t>
  </si>
  <si>
    <t>Maximum number of fish 
harvested fish per year</t>
  </si>
  <si>
    <t>Year</t>
  </si>
  <si>
    <t>Births</t>
  </si>
  <si>
    <t>Deaths</t>
  </si>
  <si>
    <t>Harvested 
Fish</t>
  </si>
  <si>
    <t xml:space="preserve">Fish at the 
end of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</si>
</sst>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>
    <font>
      <sz val="11"/>
      <color theme="1"/>
      <name val="Calibri"/>
      <family val="2"/>
      <scheme val="minor"/>
    </font>
    <font>
      <b/>
      <sz val="10"/>
      <color theme="1"/>
      <name val="Liberation Sans"/>
      <charset val="1"/>
    </font>
    <font>
      <sz val="10"/>
      <color theme="1"/>
      <name val="Liberation Sans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0" fillId="0" borderId="14" xfId="0" applyBorder="1"/>
    <xf numFmtId="0" fontId="0" fillId="0" borderId="15" xfId="0" applyBorder="1"/>
    <xf numFmtId="164" fontId="0" fillId="0" borderId="0" xfId="0" applyNumberFormat="1"/>
    <xf numFmtId="0" fontId="0" fillId="0" borderId="2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164" fontId="0" fillId="0" borderId="9" xfId="0" applyNumberFormat="1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9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2" fillId="0" borderId="1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L6" sqref="L6"/>
    </sheetView>
  </sheetViews>
  <sheetFormatPr defaultRowHeight="15"/>
  <cols>
    <col min="2" max="4" width="12.42578125" bestFit="1" customWidth="1"/>
    <col min="5" max="5" width="12.28515625" customWidth="1"/>
    <col min="6" max="6" width="12.42578125" bestFit="1" customWidth="1"/>
    <col min="7" max="7" width="21.7109375" bestFit="1" customWidth="1"/>
    <col min="11" max="11" width="16.42578125" bestFit="1" customWidth="1"/>
    <col min="12" max="12" width="11.5703125" customWidth="1"/>
  </cols>
  <sheetData>
    <row r="1" spans="1:12">
      <c r="F1" s="46" t="s">
        <v>0</v>
      </c>
    </row>
    <row r="2" spans="1:12">
      <c r="E2" s="16" t="s">
        <v>1</v>
      </c>
      <c r="F2" s="47">
        <v>0.25</v>
      </c>
    </row>
    <row r="3" spans="1:12">
      <c r="E3" s="20" t="s">
        <v>2</v>
      </c>
      <c r="F3" s="24">
        <v>0.75</v>
      </c>
    </row>
    <row r="5" spans="1:12" s="29" customFormat="1" ht="30.75">
      <c r="A5" s="41" t="s">
        <v>3</v>
      </c>
      <c r="B5" s="42" t="s">
        <v>4</v>
      </c>
      <c r="C5" s="42" t="s">
        <v>5</v>
      </c>
      <c r="D5" s="42" t="s">
        <v>6</v>
      </c>
      <c r="E5" s="42" t="s">
        <v>7</v>
      </c>
      <c r="F5" s="42" t="s">
        <v>8</v>
      </c>
      <c r="G5" s="43" t="s">
        <v>9</v>
      </c>
      <c r="H5" s="42" t="s">
        <v>10</v>
      </c>
      <c r="I5" s="42" t="s">
        <v>11</v>
      </c>
      <c r="J5" s="42" t="s">
        <v>12</v>
      </c>
      <c r="K5" s="44" t="s">
        <v>13</v>
      </c>
      <c r="L5" s="45" t="s">
        <v>14</v>
      </c>
    </row>
    <row r="6" spans="1:12">
      <c r="A6" s="5">
        <v>120</v>
      </c>
      <c r="B6" s="1">
        <v>1</v>
      </c>
      <c r="C6" s="1">
        <v>19</v>
      </c>
      <c r="D6" s="1">
        <v>15</v>
      </c>
      <c r="E6" s="1">
        <v>18</v>
      </c>
      <c r="F6" s="1">
        <v>4</v>
      </c>
      <c r="G6" s="48"/>
      <c r="H6" s="1">
        <v>87</v>
      </c>
      <c r="I6" s="1">
        <v>80</v>
      </c>
      <c r="J6" s="1">
        <v>63</v>
      </c>
      <c r="K6" s="11"/>
      <c r="L6" s="13"/>
    </row>
    <row r="7" spans="1:12">
      <c r="A7" s="5">
        <v>121</v>
      </c>
      <c r="B7" s="1">
        <v>24</v>
      </c>
      <c r="C7" s="1">
        <v>12</v>
      </c>
      <c r="D7" s="1">
        <v>7</v>
      </c>
      <c r="E7" s="1">
        <v>7</v>
      </c>
      <c r="F7" s="1">
        <v>9</v>
      </c>
      <c r="G7" s="1"/>
      <c r="H7" s="1">
        <v>42</v>
      </c>
      <c r="I7" s="1">
        <v>92</v>
      </c>
      <c r="J7" s="1">
        <v>22</v>
      </c>
      <c r="K7" s="11"/>
      <c r="L7" s="13"/>
    </row>
    <row r="8" spans="1:12">
      <c r="A8" s="5">
        <v>122</v>
      </c>
      <c r="B8" s="1">
        <v>19</v>
      </c>
      <c r="C8" s="1">
        <v>4</v>
      </c>
      <c r="D8" s="1">
        <v>13</v>
      </c>
      <c r="E8" s="1">
        <v>15</v>
      </c>
      <c r="F8" s="1">
        <v>24</v>
      </c>
      <c r="G8" s="1"/>
      <c r="H8" s="1">
        <v>44</v>
      </c>
      <c r="I8" s="1">
        <v>32</v>
      </c>
      <c r="J8" s="1">
        <v>30</v>
      </c>
      <c r="K8" s="11"/>
      <c r="L8" s="13"/>
    </row>
    <row r="9" spans="1:12">
      <c r="A9" s="5">
        <v>123</v>
      </c>
      <c r="B9" s="1">
        <v>18</v>
      </c>
      <c r="C9" s="1">
        <v>18</v>
      </c>
      <c r="D9" s="1">
        <v>13</v>
      </c>
      <c r="E9" s="1">
        <v>11</v>
      </c>
      <c r="F9" s="1">
        <v>4</v>
      </c>
      <c r="G9" s="1"/>
      <c r="H9" s="1">
        <v>12</v>
      </c>
      <c r="I9" s="1">
        <v>17</v>
      </c>
      <c r="J9" s="1">
        <v>69</v>
      </c>
      <c r="K9" s="11"/>
      <c r="L9" s="13"/>
    </row>
    <row r="10" spans="1:12">
      <c r="A10" s="5">
        <v>124</v>
      </c>
      <c r="B10" s="1">
        <v>20</v>
      </c>
      <c r="C10" s="1">
        <v>24</v>
      </c>
      <c r="D10" s="1">
        <v>14</v>
      </c>
      <c r="E10" s="1">
        <v>24</v>
      </c>
      <c r="F10" s="1">
        <v>1</v>
      </c>
      <c r="G10" s="1"/>
      <c r="H10" s="1">
        <v>32</v>
      </c>
      <c r="I10" s="1">
        <v>23</v>
      </c>
      <c r="J10" s="1">
        <v>63</v>
      </c>
      <c r="K10" s="11"/>
      <c r="L10" s="13"/>
    </row>
    <row r="11" spans="1:12">
      <c r="A11" s="5">
        <v>125</v>
      </c>
      <c r="B11" s="1">
        <v>6</v>
      </c>
      <c r="C11" s="1">
        <v>7</v>
      </c>
      <c r="D11" s="1">
        <v>3</v>
      </c>
      <c r="E11" s="1">
        <v>24</v>
      </c>
      <c r="F11" s="1">
        <v>17</v>
      </c>
      <c r="G11" s="1"/>
      <c r="H11" s="1">
        <v>71</v>
      </c>
      <c r="I11" s="1">
        <v>67</v>
      </c>
      <c r="J11" s="1">
        <v>73</v>
      </c>
      <c r="K11" s="11"/>
      <c r="L11" s="13"/>
    </row>
    <row r="12" spans="1:12">
      <c r="A12" s="5">
        <v>126</v>
      </c>
      <c r="B12" s="1">
        <v>10</v>
      </c>
      <c r="C12" s="1">
        <v>16</v>
      </c>
      <c r="D12" s="1">
        <v>21</v>
      </c>
      <c r="E12" s="1">
        <v>6</v>
      </c>
      <c r="F12" s="1">
        <v>4</v>
      </c>
      <c r="G12" s="1"/>
      <c r="H12" s="1">
        <v>79</v>
      </c>
      <c r="I12" s="1">
        <v>15</v>
      </c>
      <c r="J12" s="1">
        <v>18</v>
      </c>
      <c r="K12" s="11"/>
      <c r="L12" s="13"/>
    </row>
    <row r="13" spans="1:12">
      <c r="A13" s="5">
        <v>127</v>
      </c>
      <c r="B13" s="1">
        <v>5</v>
      </c>
      <c r="C13" s="1">
        <v>21</v>
      </c>
      <c r="D13" s="1">
        <v>11</v>
      </c>
      <c r="E13" s="1">
        <v>21</v>
      </c>
      <c r="F13" s="1">
        <v>5</v>
      </c>
      <c r="G13" s="1"/>
      <c r="H13" s="1">
        <v>75</v>
      </c>
      <c r="I13" s="1">
        <v>55</v>
      </c>
      <c r="J13" s="1">
        <v>50</v>
      </c>
      <c r="K13" s="11"/>
      <c r="L13" s="13"/>
    </row>
    <row r="14" spans="1:12">
      <c r="A14" s="5">
        <v>128</v>
      </c>
      <c r="B14" s="1">
        <v>9</v>
      </c>
      <c r="C14" s="1">
        <v>8</v>
      </c>
      <c r="D14" s="1">
        <v>17</v>
      </c>
      <c r="E14" s="1">
        <v>16</v>
      </c>
      <c r="F14" s="1">
        <v>19</v>
      </c>
      <c r="G14" s="1"/>
      <c r="H14" s="1">
        <v>91</v>
      </c>
      <c r="I14" s="1">
        <v>27</v>
      </c>
      <c r="J14" s="1">
        <v>66</v>
      </c>
      <c r="K14" s="11"/>
      <c r="L14" s="13"/>
    </row>
    <row r="15" spans="1:12">
      <c r="A15" s="5">
        <v>129</v>
      </c>
      <c r="B15" s="1">
        <v>14</v>
      </c>
      <c r="C15" s="1">
        <v>6</v>
      </c>
      <c r="D15" s="1">
        <v>16</v>
      </c>
      <c r="E15" s="1">
        <v>2</v>
      </c>
      <c r="F15" s="1">
        <v>2</v>
      </c>
      <c r="G15" s="1"/>
      <c r="H15" s="1">
        <v>36</v>
      </c>
      <c r="I15" s="1">
        <v>77</v>
      </c>
      <c r="J15" s="1">
        <v>60</v>
      </c>
      <c r="K15" s="11"/>
      <c r="L15" s="13"/>
    </row>
    <row r="16" spans="1:12">
      <c r="A16" s="5">
        <v>130</v>
      </c>
      <c r="B16" s="1">
        <v>18</v>
      </c>
      <c r="C16" s="1">
        <v>21</v>
      </c>
      <c r="D16" s="1">
        <v>21</v>
      </c>
      <c r="E16" s="1">
        <v>19</v>
      </c>
      <c r="F16" s="1">
        <v>16</v>
      </c>
      <c r="G16" s="1"/>
      <c r="H16" s="1">
        <v>83</v>
      </c>
      <c r="I16" s="1">
        <v>42</v>
      </c>
      <c r="J16" s="1">
        <v>68</v>
      </c>
      <c r="K16" s="11"/>
      <c r="L16" s="13"/>
    </row>
    <row r="17" spans="1:12">
      <c r="A17" s="5">
        <v>131</v>
      </c>
      <c r="B17" s="1">
        <v>25</v>
      </c>
      <c r="C17" s="1">
        <v>6</v>
      </c>
      <c r="D17" s="1">
        <v>24</v>
      </c>
      <c r="E17" s="1">
        <v>17</v>
      </c>
      <c r="F17" s="1">
        <v>4</v>
      </c>
      <c r="G17" s="1"/>
      <c r="H17" s="1">
        <v>60</v>
      </c>
      <c r="I17" s="1">
        <v>52</v>
      </c>
      <c r="J17" s="1">
        <v>29</v>
      </c>
      <c r="K17" s="11"/>
      <c r="L17" s="13"/>
    </row>
    <row r="18" spans="1:12">
      <c r="A18" s="5">
        <v>132</v>
      </c>
      <c r="B18" s="1">
        <v>18</v>
      </c>
      <c r="C18" s="1">
        <v>24</v>
      </c>
      <c r="D18" s="1">
        <v>7</v>
      </c>
      <c r="E18" s="1">
        <v>18</v>
      </c>
      <c r="F18" s="1">
        <v>9</v>
      </c>
      <c r="G18" s="1"/>
      <c r="H18" s="1">
        <v>34</v>
      </c>
      <c r="I18" s="1">
        <v>83</v>
      </c>
      <c r="J18" s="1">
        <v>33</v>
      </c>
      <c r="K18" s="11"/>
      <c r="L18" s="13"/>
    </row>
    <row r="19" spans="1:12">
      <c r="A19" s="5">
        <v>133</v>
      </c>
      <c r="B19" s="1">
        <v>5</v>
      </c>
      <c r="C19" s="1">
        <v>18</v>
      </c>
      <c r="D19" s="1">
        <v>11</v>
      </c>
      <c r="E19" s="1">
        <v>2</v>
      </c>
      <c r="F19" s="1">
        <v>23</v>
      </c>
      <c r="G19" s="1"/>
      <c r="H19" s="1">
        <v>44</v>
      </c>
      <c r="I19" s="1">
        <v>80</v>
      </c>
      <c r="J19" s="1">
        <v>90</v>
      </c>
      <c r="K19" s="11"/>
      <c r="L19" s="13"/>
    </row>
    <row r="20" spans="1:12">
      <c r="A20" s="5">
        <v>134</v>
      </c>
      <c r="B20" s="1">
        <v>17</v>
      </c>
      <c r="C20" s="1">
        <v>7</v>
      </c>
      <c r="D20" s="1">
        <v>5</v>
      </c>
      <c r="E20" s="1">
        <v>5</v>
      </c>
      <c r="F20" s="1">
        <v>4</v>
      </c>
      <c r="G20" s="1"/>
      <c r="H20" s="1">
        <v>42</v>
      </c>
      <c r="I20" s="1">
        <v>77</v>
      </c>
      <c r="J20" s="1">
        <v>45</v>
      </c>
      <c r="K20" s="11"/>
      <c r="L20" s="13"/>
    </row>
    <row r="21" spans="1:12">
      <c r="A21" s="5">
        <v>135</v>
      </c>
      <c r="B21" s="1">
        <v>8</v>
      </c>
      <c r="C21" s="1">
        <v>1</v>
      </c>
      <c r="D21" s="1">
        <v>12</v>
      </c>
      <c r="E21" s="1">
        <v>11</v>
      </c>
      <c r="F21" s="1">
        <v>23</v>
      </c>
      <c r="G21" s="1"/>
      <c r="H21" s="1">
        <v>41</v>
      </c>
      <c r="I21" s="1">
        <v>63</v>
      </c>
      <c r="J21" s="1">
        <v>10</v>
      </c>
      <c r="K21" s="11"/>
      <c r="L21" s="13"/>
    </row>
    <row r="22" spans="1:12">
      <c r="A22" s="5">
        <v>136</v>
      </c>
      <c r="B22" s="1">
        <v>20</v>
      </c>
      <c r="C22" s="1">
        <v>18</v>
      </c>
      <c r="D22" s="1">
        <v>11</v>
      </c>
      <c r="E22" s="1">
        <v>5</v>
      </c>
      <c r="F22" s="1">
        <v>19</v>
      </c>
      <c r="G22" s="1"/>
      <c r="H22" s="1">
        <v>48</v>
      </c>
      <c r="I22" s="1">
        <v>96</v>
      </c>
      <c r="J22" s="1">
        <v>96</v>
      </c>
      <c r="K22" s="11"/>
      <c r="L22" s="13"/>
    </row>
    <row r="23" spans="1:12">
      <c r="A23" s="5">
        <v>137</v>
      </c>
      <c r="B23" s="1">
        <v>16</v>
      </c>
      <c r="C23" s="1">
        <v>19</v>
      </c>
      <c r="D23" s="1">
        <v>13</v>
      </c>
      <c r="E23" s="1">
        <v>22</v>
      </c>
      <c r="F23" s="1">
        <v>23</v>
      </c>
      <c r="G23" s="1"/>
      <c r="H23" s="1">
        <v>83</v>
      </c>
      <c r="I23" s="1">
        <v>69</v>
      </c>
      <c r="J23" s="1">
        <v>22</v>
      </c>
      <c r="K23" s="11"/>
      <c r="L23" s="13"/>
    </row>
    <row r="24" spans="1:12">
      <c r="A24" s="5">
        <v>138</v>
      </c>
      <c r="B24" s="1">
        <v>20</v>
      </c>
      <c r="C24" s="1">
        <v>10</v>
      </c>
      <c r="D24" s="1">
        <v>3</v>
      </c>
      <c r="E24" s="1">
        <v>10</v>
      </c>
      <c r="F24" s="1">
        <v>20</v>
      </c>
      <c r="G24" s="1"/>
      <c r="H24" s="1">
        <v>38</v>
      </c>
      <c r="I24" s="1">
        <v>82</v>
      </c>
      <c r="J24" s="1">
        <v>96</v>
      </c>
      <c r="K24" s="11"/>
      <c r="L24" s="13"/>
    </row>
    <row r="25" spans="1:12">
      <c r="A25" s="5">
        <v>139</v>
      </c>
      <c r="B25" s="1">
        <v>11</v>
      </c>
      <c r="C25" s="1">
        <v>20</v>
      </c>
      <c r="D25" s="1">
        <v>11</v>
      </c>
      <c r="E25" s="1">
        <v>9</v>
      </c>
      <c r="F25" s="1">
        <v>13</v>
      </c>
      <c r="G25" s="1"/>
      <c r="H25" s="1">
        <v>96</v>
      </c>
      <c r="I25" s="1">
        <v>56</v>
      </c>
      <c r="J25" s="1">
        <v>70</v>
      </c>
      <c r="K25" s="11"/>
      <c r="L25" s="13"/>
    </row>
    <row r="26" spans="1:12">
      <c r="A26" s="7">
        <v>140</v>
      </c>
      <c r="B26" s="8">
        <v>10</v>
      </c>
      <c r="C26" s="8">
        <v>5</v>
      </c>
      <c r="D26" s="8">
        <v>8</v>
      </c>
      <c r="E26" s="8">
        <v>22</v>
      </c>
      <c r="F26" s="8">
        <v>6</v>
      </c>
      <c r="G26" s="8"/>
      <c r="H26" s="8">
        <v>91</v>
      </c>
      <c r="I26" s="8">
        <v>31</v>
      </c>
      <c r="J26" s="8">
        <v>96</v>
      </c>
      <c r="K26" s="12"/>
      <c r="L26" s="14"/>
    </row>
    <row r="28" spans="1:12">
      <c r="A28">
        <v>142</v>
      </c>
      <c r="B28">
        <v>25</v>
      </c>
      <c r="C28">
        <v>25</v>
      </c>
      <c r="D28">
        <v>25</v>
      </c>
      <c r="E28">
        <v>25</v>
      </c>
      <c r="F28">
        <v>25</v>
      </c>
      <c r="G28">
        <f>AVERAGE(B28:F28)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552E-1258-4440-B50F-CC3F53FD1BC0}">
  <dimension ref="A1:I22"/>
  <sheetViews>
    <sheetView workbookViewId="0">
      <selection activeCell="F2" sqref="F2:I6"/>
    </sheetView>
  </sheetViews>
  <sheetFormatPr defaultRowHeight="15"/>
  <cols>
    <col min="2" max="2" width="21.7109375" customWidth="1"/>
    <col min="3" max="3" width="17.140625" bestFit="1" customWidth="1"/>
  </cols>
  <sheetData>
    <row r="1" spans="1:9" s="10" customFormat="1">
      <c r="A1" s="2" t="s">
        <v>15</v>
      </c>
      <c r="B1" s="3" t="s">
        <v>16</v>
      </c>
      <c r="C1" s="3" t="s">
        <v>17</v>
      </c>
      <c r="D1" s="4" t="s">
        <v>18</v>
      </c>
    </row>
    <row r="2" spans="1:9">
      <c r="A2" s="5">
        <v>120</v>
      </c>
      <c r="B2" s="1">
        <v>146</v>
      </c>
      <c r="C2" s="1">
        <v>9300</v>
      </c>
      <c r="D2" s="6"/>
      <c r="F2" s="63" t="s">
        <v>19</v>
      </c>
      <c r="G2" s="63"/>
      <c r="H2" s="63"/>
      <c r="I2" s="63"/>
    </row>
    <row r="3" spans="1:9">
      <c r="A3" s="5">
        <v>121</v>
      </c>
      <c r="B3" s="1">
        <v>180</v>
      </c>
      <c r="C3" s="1">
        <v>9500</v>
      </c>
      <c r="D3" s="6"/>
      <c r="F3" s="63"/>
      <c r="G3" s="63"/>
      <c r="H3" s="63"/>
      <c r="I3" s="63"/>
    </row>
    <row r="4" spans="1:9">
      <c r="A4" s="5">
        <v>122</v>
      </c>
      <c r="B4" s="1">
        <v>116</v>
      </c>
      <c r="C4" s="1">
        <v>3900</v>
      </c>
      <c r="D4" s="6"/>
      <c r="F4" s="63"/>
      <c r="G4" s="63"/>
      <c r="H4" s="63"/>
      <c r="I4" s="63"/>
    </row>
    <row r="5" spans="1:9">
      <c r="A5" s="5">
        <v>123</v>
      </c>
      <c r="B5" s="1">
        <v>113</v>
      </c>
      <c r="C5" s="1">
        <v>9300</v>
      </c>
      <c r="D5" s="6"/>
      <c r="F5" s="63"/>
      <c r="G5" s="63"/>
      <c r="H5" s="63"/>
      <c r="I5" s="63"/>
    </row>
    <row r="6" spans="1:9">
      <c r="A6" s="5">
        <v>124</v>
      </c>
      <c r="B6" s="1">
        <v>94</v>
      </c>
      <c r="C6" s="1">
        <v>5200</v>
      </c>
      <c r="D6" s="6"/>
      <c r="F6" s="63"/>
      <c r="G6" s="63"/>
      <c r="H6" s="63"/>
      <c r="I6" s="63"/>
    </row>
    <row r="7" spans="1:9">
      <c r="A7" s="5">
        <v>125</v>
      </c>
      <c r="B7" s="1">
        <v>169</v>
      </c>
      <c r="C7" s="1">
        <v>7300</v>
      </c>
      <c r="D7" s="6"/>
    </row>
    <row r="8" spans="1:9">
      <c r="A8" s="5">
        <v>126</v>
      </c>
      <c r="B8" s="1">
        <v>84</v>
      </c>
      <c r="C8" s="1">
        <v>8700</v>
      </c>
      <c r="D8" s="6"/>
    </row>
    <row r="9" spans="1:9">
      <c r="A9" s="5">
        <v>127</v>
      </c>
      <c r="B9" s="1">
        <v>104</v>
      </c>
      <c r="C9" s="1">
        <v>2800</v>
      </c>
      <c r="D9" s="6"/>
    </row>
    <row r="10" spans="1:9">
      <c r="A10" s="5">
        <v>128</v>
      </c>
      <c r="B10" s="1">
        <v>120</v>
      </c>
      <c r="C10" s="1">
        <v>7000</v>
      </c>
      <c r="D10" s="6"/>
    </row>
    <row r="11" spans="1:9">
      <c r="A11" s="5">
        <v>129</v>
      </c>
      <c r="B11" s="1">
        <v>161</v>
      </c>
      <c r="C11" s="1">
        <v>7400</v>
      </c>
      <c r="D11" s="6"/>
    </row>
    <row r="12" spans="1:9">
      <c r="A12" s="5">
        <v>130</v>
      </c>
      <c r="B12" s="1">
        <v>163</v>
      </c>
      <c r="C12" s="1">
        <v>2400</v>
      </c>
      <c r="D12" s="6"/>
      <c r="H12">
        <f>(C2/1000)/(1.46*1.46)</f>
        <v>4.362919872396323</v>
      </c>
    </row>
    <row r="13" spans="1:9">
      <c r="A13" s="5">
        <v>131</v>
      </c>
      <c r="B13" s="1">
        <v>107</v>
      </c>
      <c r="C13" s="1">
        <v>5200</v>
      </c>
      <c r="D13" s="6"/>
    </row>
    <row r="14" spans="1:9">
      <c r="A14" s="5">
        <v>132</v>
      </c>
      <c r="B14" s="1">
        <v>130</v>
      </c>
      <c r="C14" s="1">
        <v>8400</v>
      </c>
      <c r="D14" s="6"/>
    </row>
    <row r="15" spans="1:9">
      <c r="A15" s="5">
        <v>133</v>
      </c>
      <c r="B15" s="1">
        <v>118</v>
      </c>
      <c r="C15" s="1">
        <v>4600</v>
      </c>
      <c r="D15" s="6"/>
    </row>
    <row r="16" spans="1:9">
      <c r="A16" s="5">
        <v>134</v>
      </c>
      <c r="B16" s="1">
        <v>156</v>
      </c>
      <c r="C16" s="1">
        <v>8300</v>
      </c>
      <c r="D16" s="6"/>
    </row>
    <row r="17" spans="1:4">
      <c r="A17" s="5">
        <v>135</v>
      </c>
      <c r="B17" s="1">
        <v>98</v>
      </c>
      <c r="C17" s="1">
        <v>4000</v>
      </c>
      <c r="D17" s="6"/>
    </row>
    <row r="18" spans="1:4">
      <c r="A18" s="5">
        <v>136</v>
      </c>
      <c r="B18" s="1">
        <v>88</v>
      </c>
      <c r="C18" s="1">
        <v>8400</v>
      </c>
      <c r="D18" s="6"/>
    </row>
    <row r="19" spans="1:4">
      <c r="A19" s="5">
        <v>137</v>
      </c>
      <c r="B19" s="1">
        <v>117</v>
      </c>
      <c r="C19" s="1">
        <v>5800</v>
      </c>
      <c r="D19" s="6"/>
    </row>
    <row r="20" spans="1:4">
      <c r="A20" s="5">
        <v>138</v>
      </c>
      <c r="B20" s="1">
        <v>160</v>
      </c>
      <c r="C20" s="1">
        <v>6600</v>
      </c>
      <c r="D20" s="6"/>
    </row>
    <row r="21" spans="1:4">
      <c r="A21" s="5">
        <v>139</v>
      </c>
      <c r="B21" s="1">
        <v>180</v>
      </c>
      <c r="C21" s="1">
        <v>4600</v>
      </c>
      <c r="D21" s="6"/>
    </row>
    <row r="22" spans="1:4">
      <c r="A22" s="7">
        <v>140</v>
      </c>
      <c r="B22" s="8">
        <v>86</v>
      </c>
      <c r="C22" s="8">
        <v>7100</v>
      </c>
      <c r="D22" s="9"/>
    </row>
  </sheetData>
  <mergeCells count="1">
    <mergeCell ref="F2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B20B-36F0-4423-873E-508D6126C598}">
  <dimension ref="A1:F52"/>
  <sheetViews>
    <sheetView workbookViewId="0">
      <selection activeCell="E1" sqref="E1:F1"/>
    </sheetView>
  </sheetViews>
  <sheetFormatPr defaultRowHeight="15"/>
  <cols>
    <col min="2" max="2" width="10.42578125" style="15" bestFit="1" customWidth="1"/>
    <col min="6" max="6" width="10.42578125" style="15" bestFit="1" customWidth="1"/>
  </cols>
  <sheetData>
    <row r="1" spans="1:6">
      <c r="A1" s="64" t="s">
        <v>20</v>
      </c>
      <c r="B1" s="65"/>
      <c r="E1" s="64" t="s">
        <v>21</v>
      </c>
      <c r="F1" s="65"/>
    </row>
    <row r="2" spans="1:6">
      <c r="A2" s="16" t="s">
        <v>22</v>
      </c>
      <c r="B2" s="17">
        <v>0.3</v>
      </c>
      <c r="E2" s="16" t="s">
        <v>22</v>
      </c>
      <c r="F2" s="17">
        <v>0.30000009999999999</v>
      </c>
    </row>
    <row r="3" spans="1:6">
      <c r="A3" s="18" t="s">
        <v>23</v>
      </c>
      <c r="B3" s="19">
        <f>4*B2*(1-B2)</f>
        <v>0.84</v>
      </c>
      <c r="E3" s="18" t="s">
        <v>23</v>
      </c>
      <c r="F3" s="19"/>
    </row>
    <row r="4" spans="1:6">
      <c r="A4" s="18" t="s">
        <v>24</v>
      </c>
      <c r="B4" s="19"/>
      <c r="E4" s="18" t="s">
        <v>24</v>
      </c>
      <c r="F4" s="19"/>
    </row>
    <row r="5" spans="1:6">
      <c r="A5" s="18" t="s">
        <v>25</v>
      </c>
      <c r="B5" s="19"/>
      <c r="E5" s="18" t="s">
        <v>25</v>
      </c>
      <c r="F5" s="19"/>
    </row>
    <row r="6" spans="1:6">
      <c r="A6" s="18" t="s">
        <v>26</v>
      </c>
      <c r="B6" s="19"/>
      <c r="E6" s="18" t="s">
        <v>26</v>
      </c>
      <c r="F6" s="19"/>
    </row>
    <row r="7" spans="1:6">
      <c r="A7" s="18" t="s">
        <v>27</v>
      </c>
      <c r="B7" s="19"/>
      <c r="E7" s="18" t="s">
        <v>27</v>
      </c>
      <c r="F7" s="19"/>
    </row>
    <row r="8" spans="1:6">
      <c r="A8" s="18" t="s">
        <v>28</v>
      </c>
      <c r="B8" s="19"/>
      <c r="E8" s="18" t="s">
        <v>28</v>
      </c>
      <c r="F8" s="19"/>
    </row>
    <row r="9" spans="1:6">
      <c r="A9" s="18" t="s">
        <v>29</v>
      </c>
      <c r="B9" s="19"/>
      <c r="E9" s="18" t="s">
        <v>29</v>
      </c>
      <c r="F9" s="19"/>
    </row>
    <row r="10" spans="1:6">
      <c r="A10" s="18" t="s">
        <v>30</v>
      </c>
      <c r="B10" s="19"/>
      <c r="E10" s="18" t="s">
        <v>30</v>
      </c>
      <c r="F10" s="19"/>
    </row>
    <row r="11" spans="1:6">
      <c r="A11" s="18" t="s">
        <v>31</v>
      </c>
      <c r="B11" s="19"/>
      <c r="E11" s="18" t="s">
        <v>31</v>
      </c>
      <c r="F11" s="19"/>
    </row>
    <row r="12" spans="1:6">
      <c r="A12" s="18" t="s">
        <v>32</v>
      </c>
      <c r="B12" s="19"/>
      <c r="E12" s="18" t="s">
        <v>32</v>
      </c>
      <c r="F12" s="19"/>
    </row>
    <row r="13" spans="1:6">
      <c r="A13" s="18" t="s">
        <v>33</v>
      </c>
      <c r="B13" s="19"/>
      <c r="E13" s="18" t="s">
        <v>33</v>
      </c>
      <c r="F13" s="19"/>
    </row>
    <row r="14" spans="1:6">
      <c r="A14" s="18" t="s">
        <v>34</v>
      </c>
      <c r="B14" s="19"/>
      <c r="E14" s="18" t="s">
        <v>34</v>
      </c>
      <c r="F14" s="19"/>
    </row>
    <row r="15" spans="1:6">
      <c r="A15" s="18" t="s">
        <v>35</v>
      </c>
      <c r="B15" s="19"/>
      <c r="E15" s="18" t="s">
        <v>35</v>
      </c>
      <c r="F15" s="19"/>
    </row>
    <row r="16" spans="1:6">
      <c r="A16" s="18" t="s">
        <v>36</v>
      </c>
      <c r="B16" s="19"/>
      <c r="E16" s="18" t="s">
        <v>36</v>
      </c>
      <c r="F16" s="19"/>
    </row>
    <row r="17" spans="1:6">
      <c r="A17" s="66" t="s">
        <v>37</v>
      </c>
      <c r="B17" s="19"/>
      <c r="E17" s="18" t="s">
        <v>37</v>
      </c>
      <c r="F17" s="19"/>
    </row>
    <row r="18" spans="1:6">
      <c r="A18" s="18" t="s">
        <v>38</v>
      </c>
      <c r="B18" s="19"/>
      <c r="E18" s="18" t="s">
        <v>38</v>
      </c>
      <c r="F18" s="19"/>
    </row>
    <row r="19" spans="1:6">
      <c r="A19" s="18" t="s">
        <v>39</v>
      </c>
      <c r="B19" s="19"/>
      <c r="E19" s="18" t="s">
        <v>39</v>
      </c>
      <c r="F19" s="19"/>
    </row>
    <row r="20" spans="1:6">
      <c r="A20" s="18" t="s">
        <v>40</v>
      </c>
      <c r="B20" s="19"/>
      <c r="E20" s="18" t="s">
        <v>40</v>
      </c>
      <c r="F20" s="19"/>
    </row>
    <row r="21" spans="1:6">
      <c r="A21" s="18" t="s">
        <v>41</v>
      </c>
      <c r="B21" s="19"/>
      <c r="E21" s="18" t="s">
        <v>41</v>
      </c>
      <c r="F21" s="19"/>
    </row>
    <row r="22" spans="1:6">
      <c r="A22" s="18" t="s">
        <v>42</v>
      </c>
      <c r="B22" s="19"/>
      <c r="E22" s="18" t="s">
        <v>42</v>
      </c>
      <c r="F22" s="19"/>
    </row>
    <row r="23" spans="1:6">
      <c r="A23" s="18" t="s">
        <v>43</v>
      </c>
      <c r="B23" s="19"/>
      <c r="E23" s="18" t="s">
        <v>43</v>
      </c>
      <c r="F23" s="19"/>
    </row>
    <row r="24" spans="1:6">
      <c r="A24" s="18" t="s">
        <v>44</v>
      </c>
      <c r="B24" s="19"/>
      <c r="E24" s="18" t="s">
        <v>44</v>
      </c>
      <c r="F24" s="19"/>
    </row>
    <row r="25" spans="1:6">
      <c r="A25" s="18" t="s">
        <v>45</v>
      </c>
      <c r="B25" s="19"/>
      <c r="E25" s="18" t="s">
        <v>45</v>
      </c>
      <c r="F25" s="19"/>
    </row>
    <row r="26" spans="1:6">
      <c r="A26" s="18" t="s">
        <v>46</v>
      </c>
      <c r="B26" s="19"/>
      <c r="E26" s="18" t="s">
        <v>46</v>
      </c>
      <c r="F26" s="19"/>
    </row>
    <row r="27" spans="1:6">
      <c r="A27" s="18" t="s">
        <v>47</v>
      </c>
      <c r="B27" s="19"/>
      <c r="E27" s="18" t="s">
        <v>47</v>
      </c>
      <c r="F27" s="19"/>
    </row>
    <row r="28" spans="1:6">
      <c r="A28" s="18" t="s">
        <v>48</v>
      </c>
      <c r="B28" s="19"/>
      <c r="E28" s="18" t="s">
        <v>48</v>
      </c>
      <c r="F28" s="19"/>
    </row>
    <row r="29" spans="1:6">
      <c r="A29" s="18" t="s">
        <v>49</v>
      </c>
      <c r="B29" s="19"/>
      <c r="E29" s="18" t="s">
        <v>49</v>
      </c>
      <c r="F29" s="19"/>
    </row>
    <row r="30" spans="1:6">
      <c r="A30" s="18" t="s">
        <v>50</v>
      </c>
      <c r="B30" s="19"/>
      <c r="E30" s="18" t="s">
        <v>50</v>
      </c>
      <c r="F30" s="19"/>
    </row>
    <row r="31" spans="1:6">
      <c r="A31" s="18" t="s">
        <v>51</v>
      </c>
      <c r="B31" s="19"/>
      <c r="E31" s="18" t="s">
        <v>51</v>
      </c>
      <c r="F31" s="19"/>
    </row>
    <row r="32" spans="1:6">
      <c r="A32" s="18" t="s">
        <v>52</v>
      </c>
      <c r="B32" s="19"/>
      <c r="E32" s="18" t="s">
        <v>52</v>
      </c>
      <c r="F32" s="19"/>
    </row>
    <row r="33" spans="1:6">
      <c r="A33" s="18" t="s">
        <v>53</v>
      </c>
      <c r="B33" s="19"/>
      <c r="E33" s="18" t="s">
        <v>53</v>
      </c>
      <c r="F33" s="19"/>
    </row>
    <row r="34" spans="1:6">
      <c r="A34" s="18" t="s">
        <v>54</v>
      </c>
      <c r="B34" s="19"/>
      <c r="E34" s="18" t="s">
        <v>54</v>
      </c>
      <c r="F34" s="19"/>
    </row>
    <row r="35" spans="1:6">
      <c r="A35" s="18" t="s">
        <v>55</v>
      </c>
      <c r="B35" s="19"/>
      <c r="E35" s="18" t="s">
        <v>55</v>
      </c>
      <c r="F35" s="19"/>
    </row>
    <row r="36" spans="1:6">
      <c r="A36" s="18" t="s">
        <v>56</v>
      </c>
      <c r="B36" s="19"/>
      <c r="E36" s="18" t="s">
        <v>56</v>
      </c>
      <c r="F36" s="19"/>
    </row>
    <row r="37" spans="1:6">
      <c r="A37" s="18" t="s">
        <v>57</v>
      </c>
      <c r="B37" s="19"/>
      <c r="E37" s="18" t="s">
        <v>57</v>
      </c>
      <c r="F37" s="19"/>
    </row>
    <row r="38" spans="1:6">
      <c r="A38" s="18" t="s">
        <v>58</v>
      </c>
      <c r="B38" s="19"/>
      <c r="E38" s="18" t="s">
        <v>58</v>
      </c>
      <c r="F38" s="19"/>
    </row>
    <row r="39" spans="1:6">
      <c r="A39" s="18" t="s">
        <v>59</v>
      </c>
      <c r="B39" s="19"/>
      <c r="E39" s="18" t="s">
        <v>59</v>
      </c>
      <c r="F39" s="19"/>
    </row>
    <row r="40" spans="1:6">
      <c r="A40" s="18" t="s">
        <v>60</v>
      </c>
      <c r="B40" s="19"/>
      <c r="E40" s="18" t="s">
        <v>60</v>
      </c>
      <c r="F40" s="19"/>
    </row>
    <row r="41" spans="1:6">
      <c r="A41" s="18" t="s">
        <v>61</v>
      </c>
      <c r="B41" s="19"/>
      <c r="E41" s="18" t="s">
        <v>61</v>
      </c>
      <c r="F41" s="19"/>
    </row>
    <row r="42" spans="1:6">
      <c r="A42" s="18" t="s">
        <v>62</v>
      </c>
      <c r="B42" s="19"/>
      <c r="E42" s="18" t="s">
        <v>62</v>
      </c>
      <c r="F42" s="19"/>
    </row>
    <row r="43" spans="1:6">
      <c r="A43" s="18" t="s">
        <v>63</v>
      </c>
      <c r="B43" s="19"/>
      <c r="E43" s="18" t="s">
        <v>63</v>
      </c>
      <c r="F43" s="19"/>
    </row>
    <row r="44" spans="1:6">
      <c r="A44" s="18" t="s">
        <v>64</v>
      </c>
      <c r="B44" s="19"/>
      <c r="E44" s="18" t="s">
        <v>64</v>
      </c>
      <c r="F44" s="19"/>
    </row>
    <row r="45" spans="1:6">
      <c r="A45" s="18" t="s">
        <v>65</v>
      </c>
      <c r="B45" s="19"/>
      <c r="E45" s="18" t="s">
        <v>65</v>
      </c>
      <c r="F45" s="19"/>
    </row>
    <row r="46" spans="1:6">
      <c r="A46" s="18" t="s">
        <v>66</v>
      </c>
      <c r="B46" s="19"/>
      <c r="E46" s="18" t="s">
        <v>66</v>
      </c>
      <c r="F46" s="19"/>
    </row>
    <row r="47" spans="1:6">
      <c r="A47" s="18" t="s">
        <v>67</v>
      </c>
      <c r="B47" s="19"/>
      <c r="E47" s="18" t="s">
        <v>67</v>
      </c>
      <c r="F47" s="19"/>
    </row>
    <row r="48" spans="1:6">
      <c r="A48" s="18" t="s">
        <v>68</v>
      </c>
      <c r="B48" s="19"/>
      <c r="E48" s="18" t="s">
        <v>68</v>
      </c>
      <c r="F48" s="19"/>
    </row>
    <row r="49" spans="1:6">
      <c r="A49" s="18" t="s">
        <v>69</v>
      </c>
      <c r="B49" s="19"/>
      <c r="E49" s="18" t="s">
        <v>69</v>
      </c>
      <c r="F49" s="19"/>
    </row>
    <row r="50" spans="1:6">
      <c r="A50" s="18" t="s">
        <v>70</v>
      </c>
      <c r="B50" s="19"/>
      <c r="E50" s="18" t="s">
        <v>70</v>
      </c>
      <c r="F50" s="19"/>
    </row>
    <row r="51" spans="1:6">
      <c r="A51" s="18" t="s">
        <v>71</v>
      </c>
      <c r="B51" s="19"/>
      <c r="E51" s="18" t="s">
        <v>71</v>
      </c>
      <c r="F51" s="19"/>
    </row>
    <row r="52" spans="1:6">
      <c r="A52" s="20" t="s">
        <v>72</v>
      </c>
      <c r="B52" s="21"/>
      <c r="E52" s="20" t="s">
        <v>72</v>
      </c>
      <c r="F52" s="21"/>
    </row>
  </sheetData>
  <mergeCells count="2">
    <mergeCell ref="A1:B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88F9-83EB-46F5-B10B-AF2CCC2F21B3}">
  <dimension ref="A1:G108"/>
  <sheetViews>
    <sheetView workbookViewId="0">
      <selection activeCell="G108" sqref="G108"/>
    </sheetView>
  </sheetViews>
  <sheetFormatPr defaultRowHeight="15"/>
  <cols>
    <col min="1" max="1" width="24.42578125" bestFit="1" customWidth="1"/>
    <col min="3" max="3" width="10.85546875" customWidth="1"/>
    <col min="6" max="6" width="10.7109375" customWidth="1"/>
    <col min="7" max="7" width="11.42578125" customWidth="1"/>
  </cols>
  <sheetData>
    <row r="1" spans="1:7">
      <c r="A1" s="16" t="s">
        <v>73</v>
      </c>
      <c r="B1" s="22">
        <v>12230</v>
      </c>
    </row>
    <row r="2" spans="1:7" ht="30" customHeight="1">
      <c r="A2" s="26" t="s">
        <v>74</v>
      </c>
      <c r="B2" s="23">
        <v>1.2</v>
      </c>
    </row>
    <row r="3" spans="1:7" ht="30.75">
      <c r="A3" s="27" t="s">
        <v>75</v>
      </c>
      <c r="B3" s="24">
        <v>0.7</v>
      </c>
    </row>
    <row r="5" spans="1:7" ht="30.75">
      <c r="A5" s="28" t="s">
        <v>76</v>
      </c>
      <c r="B5" s="25">
        <v>6115</v>
      </c>
    </row>
    <row r="8" spans="1:7" s="30" customFormat="1" ht="45.75">
      <c r="B8" s="31" t="s">
        <v>77</v>
      </c>
      <c r="C8" s="32" t="s">
        <v>73</v>
      </c>
      <c r="D8" s="33" t="s">
        <v>78</v>
      </c>
      <c r="E8" s="33" t="s">
        <v>79</v>
      </c>
      <c r="F8" s="32" t="s">
        <v>80</v>
      </c>
      <c r="G8" s="34" t="s">
        <v>81</v>
      </c>
    </row>
    <row r="9" spans="1:7">
      <c r="B9" s="35">
        <v>1</v>
      </c>
      <c r="C9" s="36">
        <f>B1</f>
        <v>12230</v>
      </c>
      <c r="D9" s="36">
        <f>1.2*C9</f>
        <v>14676</v>
      </c>
      <c r="E9" s="36">
        <f>0.7*C9</f>
        <v>8561</v>
      </c>
      <c r="F9" s="36">
        <f>6115</f>
        <v>6115</v>
      </c>
      <c r="G9" s="37"/>
    </row>
    <row r="10" spans="1:7">
      <c r="B10" s="35">
        <v>2</v>
      </c>
      <c r="C10" s="36"/>
      <c r="D10" s="36"/>
      <c r="E10" s="36"/>
      <c r="F10" s="36"/>
      <c r="G10" s="37"/>
    </row>
    <row r="11" spans="1:7">
      <c r="B11" s="35">
        <v>3</v>
      </c>
      <c r="C11" s="36"/>
      <c r="D11" s="36"/>
      <c r="E11" s="36"/>
      <c r="F11" s="36"/>
      <c r="G11" s="37"/>
    </row>
    <row r="12" spans="1:7">
      <c r="B12" s="35">
        <v>4</v>
      </c>
      <c r="C12" s="36"/>
      <c r="D12" s="36"/>
      <c r="E12" s="36"/>
      <c r="F12" s="36"/>
      <c r="G12" s="37"/>
    </row>
    <row r="13" spans="1:7">
      <c r="B13" s="35">
        <v>5</v>
      </c>
      <c r="C13" s="36"/>
      <c r="D13" s="36"/>
      <c r="E13" s="36"/>
      <c r="F13" s="36"/>
      <c r="G13" s="37"/>
    </row>
    <row r="14" spans="1:7">
      <c r="B14" s="35">
        <v>6</v>
      </c>
      <c r="C14" s="36"/>
      <c r="D14" s="36"/>
      <c r="E14" s="36"/>
      <c r="F14" s="36"/>
      <c r="G14" s="37"/>
    </row>
    <row r="15" spans="1:7">
      <c r="B15" s="35">
        <v>7</v>
      </c>
      <c r="C15" s="36"/>
      <c r="D15" s="36"/>
      <c r="E15" s="36"/>
      <c r="F15" s="36"/>
      <c r="G15" s="37"/>
    </row>
    <row r="16" spans="1:7">
      <c r="B16" s="35">
        <v>8</v>
      </c>
      <c r="C16" s="36"/>
      <c r="D16" s="36"/>
      <c r="E16" s="36"/>
      <c r="F16" s="36"/>
      <c r="G16" s="37"/>
    </row>
    <row r="17" spans="2:7">
      <c r="B17" s="35">
        <v>9</v>
      </c>
      <c r="C17" s="36"/>
      <c r="D17" s="36"/>
      <c r="E17" s="36"/>
      <c r="F17" s="36"/>
      <c r="G17" s="37"/>
    </row>
    <row r="18" spans="2:7">
      <c r="B18" s="35">
        <v>10</v>
      </c>
      <c r="C18" s="36"/>
      <c r="D18" s="36"/>
      <c r="E18" s="36"/>
      <c r="F18" s="36"/>
      <c r="G18" s="37"/>
    </row>
    <row r="19" spans="2:7">
      <c r="B19" s="35">
        <v>11</v>
      </c>
      <c r="C19" s="36"/>
      <c r="D19" s="36"/>
      <c r="E19" s="36"/>
      <c r="F19" s="36"/>
      <c r="G19" s="37"/>
    </row>
    <row r="20" spans="2:7">
      <c r="B20" s="35">
        <v>12</v>
      </c>
      <c r="C20" s="36"/>
      <c r="D20" s="36"/>
      <c r="E20" s="36"/>
      <c r="F20" s="36"/>
      <c r="G20" s="37"/>
    </row>
    <row r="21" spans="2:7">
      <c r="B21" s="35">
        <v>13</v>
      </c>
      <c r="C21" s="36"/>
      <c r="D21" s="36"/>
      <c r="E21" s="36"/>
      <c r="F21" s="36"/>
      <c r="G21" s="37"/>
    </row>
    <row r="22" spans="2:7">
      <c r="B22" s="35">
        <v>14</v>
      </c>
      <c r="C22" s="36"/>
      <c r="D22" s="36"/>
      <c r="E22" s="36"/>
      <c r="F22" s="36"/>
      <c r="G22" s="37"/>
    </row>
    <row r="23" spans="2:7">
      <c r="B23" s="35">
        <v>15</v>
      </c>
      <c r="C23" s="36"/>
      <c r="D23" s="36"/>
      <c r="E23" s="36"/>
      <c r="F23" s="36"/>
      <c r="G23" s="37"/>
    </row>
    <row r="24" spans="2:7">
      <c r="B24" s="35">
        <v>16</v>
      </c>
      <c r="C24" s="36"/>
      <c r="D24" s="36"/>
      <c r="E24" s="36"/>
      <c r="F24" s="36"/>
      <c r="G24" s="37"/>
    </row>
    <row r="25" spans="2:7">
      <c r="B25" s="35">
        <v>17</v>
      </c>
      <c r="C25" s="36"/>
      <c r="D25" s="36"/>
      <c r="E25" s="36"/>
      <c r="F25" s="36"/>
      <c r="G25" s="37"/>
    </row>
    <row r="26" spans="2:7">
      <c r="B26" s="35">
        <v>18</v>
      </c>
      <c r="C26" s="36"/>
      <c r="D26" s="36"/>
      <c r="E26" s="36"/>
      <c r="F26" s="36"/>
      <c r="G26" s="37"/>
    </row>
    <row r="27" spans="2:7">
      <c r="B27" s="35">
        <v>19</v>
      </c>
      <c r="C27" s="36"/>
      <c r="D27" s="36"/>
      <c r="E27" s="36"/>
      <c r="F27" s="36"/>
      <c r="G27" s="37"/>
    </row>
    <row r="28" spans="2:7">
      <c r="B28" s="35">
        <v>20</v>
      </c>
      <c r="C28" s="36"/>
      <c r="D28" s="36"/>
      <c r="E28" s="36"/>
      <c r="F28" s="36"/>
      <c r="G28" s="37"/>
    </row>
    <row r="29" spans="2:7">
      <c r="B29" s="35">
        <v>21</v>
      </c>
      <c r="C29" s="36"/>
      <c r="D29" s="36"/>
      <c r="E29" s="36"/>
      <c r="F29" s="36"/>
      <c r="G29" s="37"/>
    </row>
    <row r="30" spans="2:7">
      <c r="B30" s="35">
        <v>22</v>
      </c>
      <c r="C30" s="36"/>
      <c r="D30" s="36"/>
      <c r="E30" s="36"/>
      <c r="F30" s="36"/>
      <c r="G30" s="37"/>
    </row>
    <row r="31" spans="2:7">
      <c r="B31" s="35">
        <v>23</v>
      </c>
      <c r="C31" s="36"/>
      <c r="D31" s="36"/>
      <c r="E31" s="36"/>
      <c r="F31" s="36"/>
      <c r="G31" s="37"/>
    </row>
    <row r="32" spans="2:7">
      <c r="B32" s="35">
        <v>24</v>
      </c>
      <c r="C32" s="36"/>
      <c r="D32" s="36"/>
      <c r="E32" s="36"/>
      <c r="F32" s="36"/>
      <c r="G32" s="37"/>
    </row>
    <row r="33" spans="2:7">
      <c r="B33" s="35">
        <v>25</v>
      </c>
      <c r="C33" s="36"/>
      <c r="D33" s="36"/>
      <c r="E33" s="36"/>
      <c r="F33" s="36"/>
      <c r="G33" s="37"/>
    </row>
    <row r="34" spans="2:7">
      <c r="B34" s="35">
        <v>26</v>
      </c>
      <c r="C34" s="36"/>
      <c r="D34" s="36"/>
      <c r="E34" s="36"/>
      <c r="F34" s="36"/>
      <c r="G34" s="37"/>
    </row>
    <row r="35" spans="2:7">
      <c r="B35" s="35">
        <v>27</v>
      </c>
      <c r="C35" s="36"/>
      <c r="D35" s="36"/>
      <c r="E35" s="36"/>
      <c r="F35" s="36"/>
      <c r="G35" s="37"/>
    </row>
    <row r="36" spans="2:7">
      <c r="B36" s="35">
        <v>28</v>
      </c>
      <c r="C36" s="36"/>
      <c r="D36" s="36"/>
      <c r="E36" s="36"/>
      <c r="F36" s="36"/>
      <c r="G36" s="37"/>
    </row>
    <row r="37" spans="2:7">
      <c r="B37" s="35">
        <v>29</v>
      </c>
      <c r="C37" s="36"/>
      <c r="D37" s="36"/>
      <c r="E37" s="36"/>
      <c r="F37" s="36"/>
      <c r="G37" s="37"/>
    </row>
    <row r="38" spans="2:7">
      <c r="B38" s="35">
        <v>30</v>
      </c>
      <c r="C38" s="36"/>
      <c r="D38" s="36"/>
      <c r="E38" s="36"/>
      <c r="F38" s="36"/>
      <c r="G38" s="37"/>
    </row>
    <row r="39" spans="2:7">
      <c r="B39" s="35">
        <v>31</v>
      </c>
      <c r="C39" s="36"/>
      <c r="D39" s="36"/>
      <c r="E39" s="36"/>
      <c r="F39" s="36"/>
      <c r="G39" s="37"/>
    </row>
    <row r="40" spans="2:7">
      <c r="B40" s="35">
        <v>32</v>
      </c>
      <c r="C40" s="36"/>
      <c r="D40" s="36"/>
      <c r="E40" s="36"/>
      <c r="F40" s="36"/>
      <c r="G40" s="37"/>
    </row>
    <row r="41" spans="2:7">
      <c r="B41" s="35">
        <v>33</v>
      </c>
      <c r="C41" s="36"/>
      <c r="D41" s="36"/>
      <c r="E41" s="36"/>
      <c r="F41" s="36"/>
      <c r="G41" s="37"/>
    </row>
    <row r="42" spans="2:7">
      <c r="B42" s="35">
        <v>34</v>
      </c>
      <c r="C42" s="36"/>
      <c r="D42" s="36"/>
      <c r="E42" s="36"/>
      <c r="F42" s="36"/>
      <c r="G42" s="37"/>
    </row>
    <row r="43" spans="2:7">
      <c r="B43" s="35">
        <v>35</v>
      </c>
      <c r="C43" s="36"/>
      <c r="D43" s="36"/>
      <c r="E43" s="36"/>
      <c r="F43" s="36"/>
      <c r="G43" s="37"/>
    </row>
    <row r="44" spans="2:7">
      <c r="B44" s="35">
        <v>36</v>
      </c>
      <c r="C44" s="36"/>
      <c r="D44" s="36"/>
      <c r="E44" s="36"/>
      <c r="F44" s="36"/>
      <c r="G44" s="37"/>
    </row>
    <row r="45" spans="2:7">
      <c r="B45" s="35">
        <v>37</v>
      </c>
      <c r="C45" s="36"/>
      <c r="D45" s="36"/>
      <c r="E45" s="36"/>
      <c r="F45" s="36"/>
      <c r="G45" s="37"/>
    </row>
    <row r="46" spans="2:7">
      <c r="B46" s="35">
        <v>38</v>
      </c>
      <c r="C46" s="36"/>
      <c r="D46" s="36"/>
      <c r="E46" s="36"/>
      <c r="F46" s="36"/>
      <c r="G46" s="37"/>
    </row>
    <row r="47" spans="2:7">
      <c r="B47" s="35">
        <v>39</v>
      </c>
      <c r="C47" s="36"/>
      <c r="D47" s="36"/>
      <c r="E47" s="36"/>
      <c r="F47" s="36"/>
      <c r="G47" s="37"/>
    </row>
    <row r="48" spans="2:7">
      <c r="B48" s="35">
        <v>40</v>
      </c>
      <c r="C48" s="36"/>
      <c r="D48" s="36"/>
      <c r="E48" s="36"/>
      <c r="F48" s="36"/>
      <c r="G48" s="37"/>
    </row>
    <row r="49" spans="2:7">
      <c r="B49" s="35">
        <v>41</v>
      </c>
      <c r="C49" s="36"/>
      <c r="D49" s="36"/>
      <c r="E49" s="36"/>
      <c r="F49" s="36"/>
      <c r="G49" s="37"/>
    </row>
    <row r="50" spans="2:7">
      <c r="B50" s="35">
        <v>42</v>
      </c>
      <c r="C50" s="36"/>
      <c r="D50" s="36"/>
      <c r="E50" s="36"/>
      <c r="F50" s="36"/>
      <c r="G50" s="37"/>
    </row>
    <row r="51" spans="2:7">
      <c r="B51" s="35">
        <v>43</v>
      </c>
      <c r="C51" s="36"/>
      <c r="D51" s="36"/>
      <c r="E51" s="36"/>
      <c r="F51" s="36"/>
      <c r="G51" s="37"/>
    </row>
    <row r="52" spans="2:7">
      <c r="B52" s="35">
        <v>44</v>
      </c>
      <c r="C52" s="36"/>
      <c r="D52" s="36"/>
      <c r="E52" s="36"/>
      <c r="F52" s="36"/>
      <c r="G52" s="37"/>
    </row>
    <row r="53" spans="2:7">
      <c r="B53" s="35">
        <v>45</v>
      </c>
      <c r="C53" s="36"/>
      <c r="D53" s="36"/>
      <c r="E53" s="36"/>
      <c r="F53" s="36"/>
      <c r="G53" s="37"/>
    </row>
    <row r="54" spans="2:7">
      <c r="B54" s="35">
        <v>46</v>
      </c>
      <c r="C54" s="36"/>
      <c r="D54" s="36"/>
      <c r="E54" s="36"/>
      <c r="F54" s="36"/>
      <c r="G54" s="37"/>
    </row>
    <row r="55" spans="2:7">
      <c r="B55" s="35">
        <v>47</v>
      </c>
      <c r="C55" s="36"/>
      <c r="D55" s="36"/>
      <c r="E55" s="36"/>
      <c r="F55" s="36"/>
      <c r="G55" s="37"/>
    </row>
    <row r="56" spans="2:7">
      <c r="B56" s="35">
        <v>48</v>
      </c>
      <c r="C56" s="36"/>
      <c r="D56" s="36"/>
      <c r="E56" s="36"/>
      <c r="F56" s="36"/>
      <c r="G56" s="37"/>
    </row>
    <row r="57" spans="2:7">
      <c r="B57" s="35">
        <v>49</v>
      </c>
      <c r="C57" s="36"/>
      <c r="D57" s="36"/>
      <c r="E57" s="36"/>
      <c r="F57" s="36"/>
      <c r="G57" s="37"/>
    </row>
    <row r="58" spans="2:7">
      <c r="B58" s="35">
        <v>50</v>
      </c>
      <c r="C58" s="36"/>
      <c r="D58" s="36"/>
      <c r="E58" s="36"/>
      <c r="F58" s="36"/>
      <c r="G58" s="37"/>
    </row>
    <row r="59" spans="2:7">
      <c r="B59" s="35">
        <v>51</v>
      </c>
      <c r="C59" s="36"/>
      <c r="D59" s="36"/>
      <c r="E59" s="36"/>
      <c r="F59" s="36"/>
      <c r="G59" s="37"/>
    </row>
    <row r="60" spans="2:7">
      <c r="B60" s="35">
        <v>52</v>
      </c>
      <c r="C60" s="36"/>
      <c r="D60" s="36"/>
      <c r="E60" s="36"/>
      <c r="F60" s="36"/>
      <c r="G60" s="37"/>
    </row>
    <row r="61" spans="2:7">
      <c r="B61" s="35">
        <v>53</v>
      </c>
      <c r="C61" s="36"/>
      <c r="D61" s="36"/>
      <c r="E61" s="36"/>
      <c r="F61" s="36"/>
      <c r="G61" s="37"/>
    </row>
    <row r="62" spans="2:7">
      <c r="B62" s="35">
        <v>54</v>
      </c>
      <c r="C62" s="36"/>
      <c r="D62" s="36"/>
      <c r="E62" s="36"/>
      <c r="F62" s="36"/>
      <c r="G62" s="37"/>
    </row>
    <row r="63" spans="2:7">
      <c r="B63" s="35">
        <v>55</v>
      </c>
      <c r="C63" s="36"/>
      <c r="D63" s="36"/>
      <c r="E63" s="36"/>
      <c r="F63" s="36"/>
      <c r="G63" s="37"/>
    </row>
    <row r="64" spans="2:7">
      <c r="B64" s="35">
        <v>56</v>
      </c>
      <c r="C64" s="36"/>
      <c r="D64" s="36"/>
      <c r="E64" s="36"/>
      <c r="F64" s="36"/>
      <c r="G64" s="37"/>
    </row>
    <row r="65" spans="2:7">
      <c r="B65" s="35">
        <v>57</v>
      </c>
      <c r="C65" s="36"/>
      <c r="D65" s="36"/>
      <c r="E65" s="36"/>
      <c r="F65" s="36"/>
      <c r="G65" s="37"/>
    </row>
    <row r="66" spans="2:7">
      <c r="B66" s="35">
        <v>58</v>
      </c>
      <c r="C66" s="36"/>
      <c r="D66" s="36"/>
      <c r="E66" s="36"/>
      <c r="F66" s="36"/>
      <c r="G66" s="37"/>
    </row>
    <row r="67" spans="2:7">
      <c r="B67" s="35">
        <v>59</v>
      </c>
      <c r="C67" s="36"/>
      <c r="D67" s="36"/>
      <c r="E67" s="36"/>
      <c r="F67" s="36"/>
      <c r="G67" s="37"/>
    </row>
    <row r="68" spans="2:7">
      <c r="B68" s="35">
        <v>60</v>
      </c>
      <c r="C68" s="36"/>
      <c r="D68" s="36"/>
      <c r="E68" s="36"/>
      <c r="F68" s="36"/>
      <c r="G68" s="37"/>
    </row>
    <row r="69" spans="2:7">
      <c r="B69" s="35">
        <v>61</v>
      </c>
      <c r="C69" s="36"/>
      <c r="D69" s="36"/>
      <c r="E69" s="36"/>
      <c r="F69" s="36"/>
      <c r="G69" s="37"/>
    </row>
    <row r="70" spans="2:7">
      <c r="B70" s="35">
        <v>62</v>
      </c>
      <c r="C70" s="36"/>
      <c r="D70" s="36"/>
      <c r="E70" s="36"/>
      <c r="F70" s="36"/>
      <c r="G70" s="37"/>
    </row>
    <row r="71" spans="2:7">
      <c r="B71" s="35">
        <v>63</v>
      </c>
      <c r="C71" s="36"/>
      <c r="D71" s="36"/>
      <c r="E71" s="36"/>
      <c r="F71" s="36"/>
      <c r="G71" s="37"/>
    </row>
    <row r="72" spans="2:7">
      <c r="B72" s="35">
        <v>64</v>
      </c>
      <c r="C72" s="36"/>
      <c r="D72" s="36"/>
      <c r="E72" s="36"/>
      <c r="F72" s="36"/>
      <c r="G72" s="37"/>
    </row>
    <row r="73" spans="2:7">
      <c r="B73" s="35">
        <v>65</v>
      </c>
      <c r="C73" s="36"/>
      <c r="D73" s="36"/>
      <c r="E73" s="36"/>
      <c r="F73" s="36"/>
      <c r="G73" s="37"/>
    </row>
    <row r="74" spans="2:7">
      <c r="B74" s="35">
        <v>66</v>
      </c>
      <c r="C74" s="36"/>
      <c r="D74" s="36"/>
      <c r="E74" s="36"/>
      <c r="F74" s="36"/>
      <c r="G74" s="37"/>
    </row>
    <row r="75" spans="2:7">
      <c r="B75" s="35">
        <v>67</v>
      </c>
      <c r="C75" s="36"/>
      <c r="D75" s="36"/>
      <c r="E75" s="36"/>
      <c r="F75" s="36"/>
      <c r="G75" s="37"/>
    </row>
    <row r="76" spans="2:7">
      <c r="B76" s="35">
        <v>68</v>
      </c>
      <c r="C76" s="36"/>
      <c r="D76" s="36"/>
      <c r="E76" s="36"/>
      <c r="F76" s="36"/>
      <c r="G76" s="37"/>
    </row>
    <row r="77" spans="2:7">
      <c r="B77" s="35">
        <v>69</v>
      </c>
      <c r="C77" s="36"/>
      <c r="D77" s="36"/>
      <c r="E77" s="36"/>
      <c r="F77" s="36"/>
      <c r="G77" s="37"/>
    </row>
    <row r="78" spans="2:7">
      <c r="B78" s="35">
        <v>70</v>
      </c>
      <c r="C78" s="36"/>
      <c r="D78" s="36"/>
      <c r="E78" s="36"/>
      <c r="F78" s="36"/>
      <c r="G78" s="37"/>
    </row>
    <row r="79" spans="2:7">
      <c r="B79" s="35">
        <v>71</v>
      </c>
      <c r="C79" s="36"/>
      <c r="D79" s="36"/>
      <c r="E79" s="36"/>
      <c r="F79" s="36"/>
      <c r="G79" s="37"/>
    </row>
    <row r="80" spans="2:7">
      <c r="B80" s="35">
        <v>72</v>
      </c>
      <c r="C80" s="36"/>
      <c r="D80" s="36"/>
      <c r="E80" s="36"/>
      <c r="F80" s="36"/>
      <c r="G80" s="37"/>
    </row>
    <row r="81" spans="2:7">
      <c r="B81" s="35">
        <v>73</v>
      </c>
      <c r="C81" s="36"/>
      <c r="D81" s="36"/>
      <c r="E81" s="36"/>
      <c r="F81" s="36"/>
      <c r="G81" s="37"/>
    </row>
    <row r="82" spans="2:7">
      <c r="B82" s="35">
        <v>74</v>
      </c>
      <c r="C82" s="36"/>
      <c r="D82" s="36"/>
      <c r="E82" s="36"/>
      <c r="F82" s="36"/>
      <c r="G82" s="37"/>
    </row>
    <row r="83" spans="2:7">
      <c r="B83" s="35">
        <v>75</v>
      </c>
      <c r="C83" s="36"/>
      <c r="D83" s="36"/>
      <c r="E83" s="36"/>
      <c r="F83" s="36"/>
      <c r="G83" s="37"/>
    </row>
    <row r="84" spans="2:7">
      <c r="B84" s="35">
        <v>76</v>
      </c>
      <c r="C84" s="36"/>
      <c r="D84" s="36"/>
      <c r="E84" s="36"/>
      <c r="F84" s="36"/>
      <c r="G84" s="37"/>
    </row>
    <row r="85" spans="2:7">
      <c r="B85" s="35">
        <v>77</v>
      </c>
      <c r="C85" s="36"/>
      <c r="D85" s="36"/>
      <c r="E85" s="36"/>
      <c r="F85" s="36"/>
      <c r="G85" s="37"/>
    </row>
    <row r="86" spans="2:7">
      <c r="B86" s="35">
        <v>78</v>
      </c>
      <c r="C86" s="36"/>
      <c r="D86" s="36"/>
      <c r="E86" s="36"/>
      <c r="F86" s="36"/>
      <c r="G86" s="37"/>
    </row>
    <row r="87" spans="2:7">
      <c r="B87" s="35">
        <v>79</v>
      </c>
      <c r="C87" s="36"/>
      <c r="D87" s="36"/>
      <c r="E87" s="36"/>
      <c r="F87" s="36"/>
      <c r="G87" s="37"/>
    </row>
    <row r="88" spans="2:7">
      <c r="B88" s="35">
        <v>80</v>
      </c>
      <c r="C88" s="36"/>
      <c r="D88" s="36"/>
      <c r="E88" s="36"/>
      <c r="F88" s="36"/>
      <c r="G88" s="37"/>
    </row>
    <row r="89" spans="2:7">
      <c r="B89" s="35">
        <v>81</v>
      </c>
      <c r="C89" s="36"/>
      <c r="D89" s="36"/>
      <c r="E89" s="36"/>
      <c r="F89" s="36"/>
      <c r="G89" s="37"/>
    </row>
    <row r="90" spans="2:7">
      <c r="B90" s="35">
        <v>82</v>
      </c>
      <c r="C90" s="36"/>
      <c r="D90" s="36"/>
      <c r="E90" s="36"/>
      <c r="F90" s="36"/>
      <c r="G90" s="37"/>
    </row>
    <row r="91" spans="2:7">
      <c r="B91" s="35">
        <v>83</v>
      </c>
      <c r="C91" s="36"/>
      <c r="D91" s="36"/>
      <c r="E91" s="36"/>
      <c r="F91" s="36"/>
      <c r="G91" s="37"/>
    </row>
    <row r="92" spans="2:7">
      <c r="B92" s="35">
        <v>84</v>
      </c>
      <c r="C92" s="36"/>
      <c r="D92" s="36"/>
      <c r="E92" s="36"/>
      <c r="F92" s="36"/>
      <c r="G92" s="37"/>
    </row>
    <row r="93" spans="2:7">
      <c r="B93" s="35">
        <v>85</v>
      </c>
      <c r="C93" s="36"/>
      <c r="D93" s="36"/>
      <c r="E93" s="36"/>
      <c r="F93" s="36"/>
      <c r="G93" s="37"/>
    </row>
    <row r="94" spans="2:7">
      <c r="B94" s="35">
        <v>86</v>
      </c>
      <c r="C94" s="36"/>
      <c r="D94" s="36"/>
      <c r="E94" s="36"/>
      <c r="F94" s="36"/>
      <c r="G94" s="37"/>
    </row>
    <row r="95" spans="2:7">
      <c r="B95" s="35">
        <v>87</v>
      </c>
      <c r="C95" s="36"/>
      <c r="D95" s="36"/>
      <c r="E95" s="36"/>
      <c r="F95" s="36"/>
      <c r="G95" s="37"/>
    </row>
    <row r="96" spans="2:7">
      <c r="B96" s="35">
        <v>88</v>
      </c>
      <c r="C96" s="36"/>
      <c r="D96" s="36"/>
      <c r="E96" s="36"/>
      <c r="F96" s="36"/>
      <c r="G96" s="37"/>
    </row>
    <row r="97" spans="2:7">
      <c r="B97" s="35">
        <v>89</v>
      </c>
      <c r="C97" s="36"/>
      <c r="D97" s="36"/>
      <c r="E97" s="36"/>
      <c r="F97" s="36"/>
      <c r="G97" s="37"/>
    </row>
    <row r="98" spans="2:7">
      <c r="B98" s="35">
        <v>90</v>
      </c>
      <c r="C98" s="36"/>
      <c r="D98" s="36"/>
      <c r="E98" s="36"/>
      <c r="F98" s="36"/>
      <c r="G98" s="37"/>
    </row>
    <row r="99" spans="2:7">
      <c r="B99" s="35">
        <v>91</v>
      </c>
      <c r="C99" s="36"/>
      <c r="D99" s="36"/>
      <c r="E99" s="36"/>
      <c r="F99" s="36"/>
      <c r="G99" s="37"/>
    </row>
    <row r="100" spans="2:7">
      <c r="B100" s="35">
        <v>92</v>
      </c>
      <c r="C100" s="36"/>
      <c r="D100" s="36"/>
      <c r="E100" s="36"/>
      <c r="F100" s="36"/>
      <c r="G100" s="37"/>
    </row>
    <row r="101" spans="2:7">
      <c r="B101" s="35">
        <v>93</v>
      </c>
      <c r="C101" s="36"/>
      <c r="D101" s="36"/>
      <c r="E101" s="36"/>
      <c r="F101" s="36"/>
      <c r="G101" s="37"/>
    </row>
    <row r="102" spans="2:7">
      <c r="B102" s="35">
        <v>94</v>
      </c>
      <c r="C102" s="36"/>
      <c r="D102" s="36"/>
      <c r="E102" s="36"/>
      <c r="F102" s="36"/>
      <c r="G102" s="37"/>
    </row>
    <row r="103" spans="2:7">
      <c r="B103" s="35">
        <v>95</v>
      </c>
      <c r="C103" s="36"/>
      <c r="D103" s="36"/>
      <c r="E103" s="36"/>
      <c r="F103" s="36"/>
      <c r="G103" s="37"/>
    </row>
    <row r="104" spans="2:7">
      <c r="B104" s="35">
        <v>96</v>
      </c>
      <c r="C104" s="36"/>
      <c r="D104" s="36"/>
      <c r="E104" s="36"/>
      <c r="F104" s="36"/>
      <c r="G104" s="37"/>
    </row>
    <row r="105" spans="2:7">
      <c r="B105" s="35">
        <v>97</v>
      </c>
      <c r="C105" s="36"/>
      <c r="D105" s="36"/>
      <c r="E105" s="36"/>
      <c r="F105" s="36"/>
      <c r="G105" s="37"/>
    </row>
    <row r="106" spans="2:7">
      <c r="B106" s="35">
        <v>98</v>
      </c>
      <c r="C106" s="36"/>
      <c r="D106" s="36"/>
      <c r="E106" s="36"/>
      <c r="F106" s="36"/>
      <c r="G106" s="37"/>
    </row>
    <row r="107" spans="2:7">
      <c r="B107" s="35">
        <v>99</v>
      </c>
      <c r="C107" s="36"/>
      <c r="D107" s="36"/>
      <c r="E107" s="36"/>
      <c r="F107" s="36"/>
      <c r="G107" s="37"/>
    </row>
    <row r="108" spans="2:7">
      <c r="B108" s="38">
        <v>100</v>
      </c>
      <c r="C108" s="39"/>
      <c r="D108" s="39"/>
      <c r="E108" s="39"/>
      <c r="F108" s="39"/>
      <c r="G108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6C85-A90B-419A-BB97-1425A6AABD4D}">
  <dimension ref="A1:I5"/>
  <sheetViews>
    <sheetView workbookViewId="0">
      <selection activeCell="D1" sqref="D1:I3"/>
    </sheetView>
  </sheetViews>
  <sheetFormatPr defaultRowHeight="15"/>
  <cols>
    <col min="1" max="1" width="15.140625" customWidth="1"/>
    <col min="2" max="2" width="18.140625" customWidth="1"/>
    <col min="8" max="8" width="10.42578125" customWidth="1"/>
  </cols>
  <sheetData>
    <row r="1" spans="1:9" ht="60" customHeight="1">
      <c r="A1" s="49" t="s">
        <v>73</v>
      </c>
      <c r="B1" s="22">
        <v>12230</v>
      </c>
      <c r="D1" s="50" t="s">
        <v>77</v>
      </c>
      <c r="E1" s="52" t="s">
        <v>73</v>
      </c>
      <c r="F1" s="51" t="s">
        <v>78</v>
      </c>
      <c r="G1" s="51" t="s">
        <v>79</v>
      </c>
      <c r="H1" s="52" t="s">
        <v>80</v>
      </c>
      <c r="I1" s="53" t="s">
        <v>81</v>
      </c>
    </row>
    <row r="2" spans="1:9" ht="45.75">
      <c r="A2" s="54" t="s">
        <v>74</v>
      </c>
      <c r="B2" s="23">
        <v>1.2</v>
      </c>
      <c r="D2" s="60">
        <v>1</v>
      </c>
      <c r="E2" s="61"/>
      <c r="F2" s="61"/>
      <c r="G2" s="61"/>
      <c r="H2" s="61"/>
      <c r="I2" s="62"/>
    </row>
    <row r="3" spans="1:9" ht="45.75">
      <c r="A3" s="55" t="s">
        <v>75</v>
      </c>
      <c r="B3" s="24">
        <v>0.7</v>
      </c>
      <c r="D3" s="57">
        <v>2</v>
      </c>
      <c r="E3" s="58"/>
      <c r="F3" s="58"/>
      <c r="G3" s="58"/>
      <c r="H3" s="58"/>
      <c r="I3" s="59"/>
    </row>
    <row r="4" spans="1:9">
      <c r="A4" s="29"/>
    </row>
    <row r="5" spans="1:9" ht="60.75">
      <c r="A5" s="56" t="s">
        <v>76</v>
      </c>
      <c r="B5" s="25">
        <v>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 Vijaya Saradhi</cp:lastModifiedBy>
  <cp:revision/>
  <dcterms:created xsi:type="dcterms:W3CDTF">2023-09-28T10:07:04Z</dcterms:created>
  <dcterms:modified xsi:type="dcterms:W3CDTF">2025-09-06T09:23:20Z</dcterms:modified>
  <cp:category/>
  <cp:contentStatus/>
</cp:coreProperties>
</file>