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633" documentId="11_E60897F41BE170836B02CE998F75CCDC64E183C8" xr6:coauthVersionLast="47" xr6:coauthVersionMax="47" xr10:uidLastSave="{09CCFD72-680C-4511-A981-9D9C04E2CCCE}"/>
  <bookViews>
    <workbookView xWindow="240" yWindow="105" windowWidth="14805" windowHeight="8010" activeTab="7" xr2:uid="{00000000-000D-0000-FFFF-FFFF00000000}"/>
  </bookViews>
  <sheets>
    <sheet name="lookup-example01" sheetId="1" r:id="rId1"/>
    <sheet name="lookup-example02" sheetId="2" r:id="rId2"/>
    <sheet name="lookup-approximate" sheetId="3" r:id="rId3"/>
    <sheet name="hlookup-example" sheetId="4" r:id="rId4"/>
    <sheet name="xlookup-example" sheetId="5" r:id="rId5"/>
    <sheet name="xlookup-approximate" sheetId="6" r:id="rId6"/>
    <sheet name="vlookup-analytics" sheetId="9" r:id="rId7"/>
    <sheet name="index-city-distances" sheetId="8" r:id="rId8"/>
    <sheet name="monthly-sales" sheetId="10" r:id="rId9"/>
    <sheet name="baseball-example" sheetId="11" r:id="rId10"/>
  </sheets>
  <definedNames>
    <definedName name="distance">'index-city-distances'!$C$10:$J$17</definedName>
    <definedName name="salaries">'baseball-example'!$C$13:$C$413</definedName>
    <definedName name="sales">'monthly-sales'!$D$11:$D$11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1" l="1"/>
  <c r="E15" i="6"/>
  <c r="F7" i="11"/>
  <c r="F6" i="11"/>
  <c r="F5" i="11"/>
  <c r="D7" i="11"/>
  <c r="D6" i="11"/>
  <c r="D5" i="11"/>
  <c r="E6" i="11"/>
  <c r="E5" i="11"/>
  <c r="E7" i="11" s="1"/>
  <c r="C6" i="11"/>
  <c r="C5" i="11"/>
  <c r="C7" i="11" s="1"/>
  <c r="E12" i="10"/>
  <c r="D12" i="10"/>
  <c r="C12" i="10"/>
  <c r="D11" i="10"/>
  <c r="C11" i="10"/>
  <c r="E28" i="8"/>
  <c r="E27" i="8"/>
  <c r="E26" i="8"/>
  <c r="E25" i="8"/>
  <c r="E24" i="8"/>
  <c r="E23" i="8"/>
  <c r="E22" i="8"/>
  <c r="D28" i="8"/>
  <c r="D27" i="8" a="1"/>
  <c r="D27" i="8" s="1"/>
  <c r="D26" i="8" a="1"/>
  <c r="D26" i="8" s="1"/>
  <c r="D25" i="8" a="1"/>
  <c r="D25" i="8" s="1"/>
  <c r="D24" i="8" a="1"/>
  <c r="D24" i="8" s="1"/>
  <c r="D23" i="8" a="1"/>
  <c r="D23" i="8" s="1"/>
  <c r="D22" i="8" a="1"/>
  <c r="D22" i="8"/>
  <c r="D5" i="8"/>
  <c r="D4" i="8"/>
  <c r="C5" i="8"/>
  <c r="C4" i="8"/>
  <c r="E13" i="6"/>
  <c r="D11" i="5"/>
  <c r="D10" i="5"/>
  <c r="D9" i="5"/>
  <c r="D8" i="5"/>
  <c r="E14" i="6"/>
  <c r="F15" i="5"/>
  <c r="K12" i="5"/>
  <c r="K11" i="5"/>
  <c r="K10" i="5"/>
  <c r="L12" i="5"/>
  <c r="L11" i="5"/>
  <c r="L10" i="5"/>
  <c r="L9" i="5"/>
  <c r="K9" i="5"/>
  <c r="D15" i="5" a="1"/>
  <c r="D15" i="5"/>
  <c r="L16" i="5"/>
  <c r="K16" i="5" a="1"/>
  <c r="K16" i="5" s="1"/>
  <c r="F11" i="5"/>
  <c r="F10" i="5"/>
  <c r="F9" i="5"/>
  <c r="F8" i="5"/>
  <c r="G5" i="1"/>
  <c r="G4" i="1"/>
  <c r="G3" i="1"/>
  <c r="E11" i="4"/>
  <c r="E10" i="4"/>
  <c r="E9" i="4"/>
  <c r="E8" i="4"/>
  <c r="C8" i="4"/>
  <c r="C11" i="4"/>
  <c r="C10" i="4"/>
  <c r="C9" i="4"/>
  <c r="H12" i="2"/>
  <c r="G12" i="2"/>
  <c r="G11" i="2"/>
  <c r="G10" i="2"/>
  <c r="H11" i="2"/>
  <c r="H10" i="2"/>
  <c r="H9" i="2"/>
  <c r="G9" i="2"/>
  <c r="H8" i="2"/>
  <c r="G8" i="2"/>
  <c r="E11" i="10" l="1" a="1"/>
  <c r="E11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<sst xmlns="http://schemas.openxmlformats.org/spreadsheetml/2006/main" count="627" uniqueCount="530">
  <si>
    <t>Lookup Table</t>
  </si>
  <si>
    <t>Roll Number</t>
  </si>
  <si>
    <t>Name</t>
  </si>
  <si>
    <t>CPI</t>
  </si>
  <si>
    <t>Input 1</t>
  </si>
  <si>
    <t>Input 2</t>
  </si>
  <si>
    <t>Result</t>
  </si>
  <si>
    <t>Alok Kumar</t>
  </si>
  <si>
    <t>Anmol</t>
  </si>
  <si>
    <t>Amar Nath</t>
  </si>
  <si>
    <r>
      <t>Roll Number</t>
    </r>
    <r>
      <rPr>
        <sz val="14"/>
        <color rgb="FF1D466B"/>
        <rFont val="Helvetica Neue"/>
        <charset val="1"/>
      </rPr>
      <t>​</t>
    </r>
  </si>
  <si>
    <r>
      <t>Quiz 1</t>
    </r>
    <r>
      <rPr>
        <sz val="14"/>
        <color rgb="FF1D466B"/>
        <rFont val="Helvetica Neue"/>
        <charset val="1"/>
      </rPr>
      <t>​</t>
    </r>
  </si>
  <si>
    <r>
      <t>Quiz 2 </t>
    </r>
    <r>
      <rPr>
        <sz val="14"/>
        <color rgb="FF1D466B"/>
        <rFont val="Helvetica Neue"/>
        <charset val="1"/>
      </rPr>
      <t>​</t>
    </r>
  </si>
  <si>
    <r>
      <t>Mid sem</t>
    </r>
    <r>
      <rPr>
        <sz val="14"/>
        <color rgb="FF1D466B"/>
        <rFont val="Helvetica Neue"/>
        <charset val="1"/>
      </rPr>
      <t>​</t>
    </r>
  </si>
  <si>
    <r>
      <t>End Sem</t>
    </r>
    <r>
      <rPr>
        <sz val="14"/>
        <color rgb="FF1D466B"/>
        <rFont val="Helvetica Neue"/>
        <charset val="1"/>
      </rPr>
      <t>​</t>
    </r>
  </si>
  <si>
    <r>
      <t>Total</t>
    </r>
    <r>
      <rPr>
        <sz val="14"/>
        <color rgb="FF1D466B"/>
        <rFont val="Helvetica Neue"/>
        <charset val="1"/>
      </rPr>
      <t>​</t>
    </r>
  </si>
  <si>
    <r>
      <t>123</t>
    </r>
    <r>
      <rPr>
        <sz val="14"/>
        <color rgb="FF1D466B"/>
        <rFont val="Helvetica Neue"/>
        <charset val="1"/>
      </rPr>
      <t>​</t>
    </r>
  </si>
  <si>
    <r>
      <t>10</t>
    </r>
    <r>
      <rPr>
        <sz val="14"/>
        <color rgb="FF1D466B"/>
        <rFont val="Helvetica Neue"/>
        <charset val="1"/>
      </rPr>
      <t>​</t>
    </r>
  </si>
  <si>
    <r>
      <t>12</t>
    </r>
    <r>
      <rPr>
        <sz val="14"/>
        <color rgb="FF1D466B"/>
        <rFont val="Helvetica Neue"/>
        <charset val="1"/>
      </rPr>
      <t>​</t>
    </r>
  </si>
  <si>
    <r>
      <t>24</t>
    </r>
    <r>
      <rPr>
        <sz val="14"/>
        <color rgb="FF1D466B"/>
        <rFont val="Helvetica Neue"/>
        <charset val="1"/>
      </rPr>
      <t>​</t>
    </r>
  </si>
  <si>
    <r>
      <t>39</t>
    </r>
    <r>
      <rPr>
        <sz val="14"/>
        <color rgb="FF1D466B"/>
        <rFont val="Helvetica Neue"/>
        <charset val="1"/>
      </rPr>
      <t>​</t>
    </r>
  </si>
  <si>
    <r>
      <t>85</t>
    </r>
    <r>
      <rPr>
        <sz val="14"/>
        <color rgb="FF1D466B"/>
        <rFont val="Helvetica Neue"/>
        <charset val="1"/>
      </rPr>
      <t>​</t>
    </r>
  </si>
  <si>
    <r>
      <t>124</t>
    </r>
    <r>
      <rPr>
        <sz val="14"/>
        <color rgb="FF1D466B"/>
        <rFont val="Helvetica Neue"/>
        <charset val="1"/>
      </rPr>
      <t>​</t>
    </r>
  </si>
  <si>
    <r>
      <t>9</t>
    </r>
    <r>
      <rPr>
        <sz val="14"/>
        <color rgb="FF1D466B"/>
        <rFont val="Helvetica Neue"/>
        <charset val="1"/>
      </rPr>
      <t>​</t>
    </r>
  </si>
  <si>
    <r>
      <t>11</t>
    </r>
    <r>
      <rPr>
        <sz val="14"/>
        <color rgb="FF1D466B"/>
        <rFont val="Helvetica Neue"/>
        <charset val="1"/>
      </rPr>
      <t>​</t>
    </r>
  </si>
  <si>
    <r>
      <t>23</t>
    </r>
    <r>
      <rPr>
        <sz val="14"/>
        <color rgb="FF1D466B"/>
        <rFont val="Helvetica Neue"/>
        <charset val="1"/>
      </rPr>
      <t>​</t>
    </r>
  </si>
  <si>
    <r>
      <t>38</t>
    </r>
    <r>
      <rPr>
        <sz val="14"/>
        <color rgb="FF1D466B"/>
        <rFont val="Helvetica Neue"/>
        <charset val="1"/>
      </rPr>
      <t>​</t>
    </r>
  </si>
  <si>
    <r>
      <t>81</t>
    </r>
    <r>
      <rPr>
        <sz val="14"/>
        <color rgb="FF1D466B"/>
        <rFont val="Helvetica Neue"/>
        <charset val="1"/>
      </rPr>
      <t>​</t>
    </r>
  </si>
  <si>
    <r>
      <t>125</t>
    </r>
    <r>
      <rPr>
        <sz val="14"/>
        <color rgb="FF1D466B"/>
        <rFont val="Helvetica Neue"/>
        <charset val="1"/>
      </rPr>
      <t>​</t>
    </r>
  </si>
  <si>
    <r>
      <t>13</t>
    </r>
    <r>
      <rPr>
        <sz val="14"/>
        <color rgb="FF1D466B"/>
        <rFont val="Helvetica Neue"/>
        <charset val="1"/>
      </rPr>
      <t>​</t>
    </r>
  </si>
  <si>
    <r>
      <t>25</t>
    </r>
    <r>
      <rPr>
        <sz val="14"/>
        <color rgb="FF1D466B"/>
        <rFont val="Helvetica Neue"/>
        <charset val="1"/>
      </rPr>
      <t>​</t>
    </r>
  </si>
  <si>
    <r>
      <t>40</t>
    </r>
    <r>
      <rPr>
        <sz val="14"/>
        <color rgb="FF1D466B"/>
        <rFont val="Helvetica Neue"/>
        <charset val="1"/>
      </rPr>
      <t>​</t>
    </r>
  </si>
  <si>
    <r>
      <t>89</t>
    </r>
    <r>
      <rPr>
        <sz val="14"/>
        <color rgb="FF1D466B"/>
        <rFont val="Helvetica Neue"/>
        <charset val="1"/>
      </rPr>
      <t>​</t>
    </r>
  </si>
  <si>
    <r>
      <t>126</t>
    </r>
    <r>
      <rPr>
        <sz val="14"/>
        <color rgb="FF1D466B"/>
        <rFont val="Helvetica Neue"/>
        <charset val="1"/>
      </rPr>
      <t>​</t>
    </r>
  </si>
  <si>
    <r>
      <t>14</t>
    </r>
    <r>
      <rPr>
        <sz val="14"/>
        <color rgb="FF1D466B"/>
        <rFont val="Helvetica Neue"/>
        <charset val="1"/>
      </rPr>
      <t>​</t>
    </r>
  </si>
  <si>
    <r>
      <t>26</t>
    </r>
    <r>
      <rPr>
        <sz val="14"/>
        <color rgb="FF1D466B"/>
        <rFont val="Helvetica Neue"/>
        <charset val="1"/>
      </rPr>
      <t>​</t>
    </r>
  </si>
  <si>
    <r>
      <t>41</t>
    </r>
    <r>
      <rPr>
        <sz val="14"/>
        <color rgb="FF1D466B"/>
        <rFont val="Helvetica Neue"/>
        <charset val="1"/>
      </rPr>
      <t>​</t>
    </r>
  </si>
  <si>
    <r>
      <t>93</t>
    </r>
    <r>
      <rPr>
        <sz val="14"/>
        <color rgb="FF1D466B"/>
        <rFont val="Helvetica Neue"/>
        <charset val="1"/>
      </rPr>
      <t>​</t>
    </r>
  </si>
  <si>
    <t>Quiz1</t>
  </si>
  <si>
    <t>Quiz2</t>
  </si>
  <si>
    <t>Mid Sem</t>
  </si>
  <si>
    <t>End Sem</t>
  </si>
  <si>
    <t>Total</t>
  </si>
  <si>
    <t>Lookup Tables</t>
  </si>
  <si>
    <t>Income</t>
  </si>
  <si>
    <t>Tax rate</t>
  </si>
  <si>
    <t>Input</t>
  </si>
  <si>
    <t xml:space="preserve"> </t>
  </si>
  <si>
    <t>Rate</t>
  </si>
  <si>
    <t>Err:504</t>
  </si>
  <si>
    <t>=VLOOKUP(D13, D6,E9, 2, 1)</t>
  </si>
  <si>
    <t>=VLOOKUP(D14, D6:E9, 2, 1)</t>
  </si>
  <si>
    <t>=VLOOKUP(D15, D6:E9, 2, 1)</t>
  </si>
  <si>
    <t>=VLOOKUP(D16, D6:E9, 2, 1)</t>
  </si>
  <si>
    <t>=VLOOKUP(D17, D6:E9, 2, 1)</t>
  </si>
  <si>
    <t>Date</t>
  </si>
  <si>
    <t>Price</t>
  </si>
  <si>
    <t>Lookup:B2:D3</t>
  </si>
  <si>
    <t>Horizontal lookup - one value lookup at a time</t>
  </si>
  <si>
    <t>Vertical Lookup - one value lookup at a time</t>
  </si>
  <si>
    <t>Input the lookup values one by one</t>
  </si>
  <si>
    <t>J3</t>
  </si>
  <si>
    <t>J4</t>
  </si>
  <si>
    <t>J5</t>
  </si>
  <si>
    <t>J6</t>
  </si>
  <si>
    <t>Input the lookup values in group</t>
  </si>
  <si>
    <t>Group of inputs C8:C11</t>
  </si>
  <si>
    <t>Roll Number​</t>
  </si>
  <si>
    <t>J3:J6</t>
  </si>
  <si>
    <t>Match mode</t>
  </si>
  <si>
    <t>Exact match</t>
  </si>
  <si>
    <t>Exact match or next smaller</t>
  </si>
  <si>
    <t>Exact match or next larger</t>
  </si>
  <si>
    <t>Marks Range</t>
  </si>
  <si>
    <t>Letter Grade</t>
  </si>
  <si>
    <t>Marks</t>
  </si>
  <si>
    <t>Grade</t>
  </si>
  <si>
    <t>F</t>
  </si>
  <si>
    <t>AB</t>
  </si>
  <si>
    <t>=VLOOKUP(E2,lg, 2,1)</t>
  </si>
  <si>
    <t>DD</t>
  </si>
  <si>
    <t>AA</t>
  </si>
  <si>
    <t>=VLOOKUP(E3,lg, 2,1)</t>
  </si>
  <si>
    <t>CD</t>
  </si>
  <si>
    <t>BB</t>
  </si>
  <si>
    <t>=VLOOKUP(E4,lg, 2,1)</t>
  </si>
  <si>
    <t>CC</t>
  </si>
  <si>
    <t>=VLOOKUP(E5,lg, 2,1)</t>
  </si>
  <si>
    <t>BC</t>
  </si>
  <si>
    <t>=VLOOKUP(E6,lg, 2,1)</t>
  </si>
  <si>
    <t>=VLOOKUP(E7,lg, 2,1)</t>
  </si>
  <si>
    <t>=VLOOKUP(E8,lg, 2,1)</t>
  </si>
  <si>
    <t>Boston-Denver</t>
  </si>
  <si>
    <t>T Dist to Seattle</t>
  </si>
  <si>
    <t>Seattle- Miami</t>
  </si>
  <si>
    <t>Boston</t>
  </si>
  <si>
    <t>Chicago</t>
  </si>
  <si>
    <t>Dallas</t>
  </si>
  <si>
    <t>Denver</t>
  </si>
  <si>
    <t>LA</t>
  </si>
  <si>
    <t>Miami</t>
  </si>
  <si>
    <t>Phoenix</t>
  </si>
  <si>
    <t>Seattle</t>
  </si>
  <si>
    <t>Road Trip!!</t>
  </si>
  <si>
    <t>City</t>
  </si>
  <si>
    <t>Distance</t>
  </si>
  <si>
    <t>January</t>
  </si>
  <si>
    <t>February</t>
  </si>
  <si>
    <t>March</t>
  </si>
  <si>
    <t>April</t>
  </si>
  <si>
    <t>May</t>
  </si>
  <si>
    <t>June</t>
  </si>
  <si>
    <t>LeBron</t>
  </si>
  <si>
    <t>Kobe</t>
  </si>
  <si>
    <t>MJ</t>
  </si>
  <si>
    <t>Curry</t>
  </si>
  <si>
    <t>Output</t>
  </si>
  <si>
    <t>Product</t>
  </si>
  <si>
    <t>Month</t>
  </si>
  <si>
    <t>Row # of product</t>
  </si>
  <si>
    <t>Column # of month</t>
  </si>
  <si>
    <t>Product Sales</t>
  </si>
  <si>
    <t>highest</t>
  </si>
  <si>
    <t>Formula</t>
  </si>
  <si>
    <t>5th highest</t>
  </si>
  <si>
    <t>player position</t>
  </si>
  <si>
    <t>amount</t>
  </si>
  <si>
    <t>name</t>
  </si>
  <si>
    <t>salary</t>
  </si>
  <si>
    <t>dl-Mo Vaughn</t>
  </si>
  <si>
    <t>Tim Salmon</t>
  </si>
  <si>
    <t>Garret Anderson</t>
  </si>
  <si>
    <t>Darin Erstad</t>
  </si>
  <si>
    <t>Troy Percival</t>
  </si>
  <si>
    <t>Ismael Valdes</t>
  </si>
  <si>
    <t>Pat Rapp</t>
  </si>
  <si>
    <t>Glenallen Hill</t>
  </si>
  <si>
    <t>Troy Glaus</t>
  </si>
  <si>
    <t>Shigetoshi Hasegawa</t>
  </si>
  <si>
    <t>Scott Spiezio</t>
  </si>
  <si>
    <t>Orlando Palmeiro</t>
  </si>
  <si>
    <t>Alan Levine</t>
  </si>
  <si>
    <t>Mike Holtz</t>
  </si>
  <si>
    <t>Jorge Fabregas</t>
  </si>
  <si>
    <t>Benji Gil</t>
  </si>
  <si>
    <t>Ben Molina</t>
  </si>
  <si>
    <t>dl-Gary DiSarcina</t>
  </si>
  <si>
    <t>dl-Adam Kennedy</t>
  </si>
  <si>
    <t>Scott Schoeneweis</t>
  </si>
  <si>
    <t>dl-Kimera Bartee</t>
  </si>
  <si>
    <t>dl-Jarrod Washburn</t>
  </si>
  <si>
    <t>Ramon Ortiz</t>
  </si>
  <si>
    <t>Jose Nieves</t>
  </si>
  <si>
    <t>Lou Pote</t>
  </si>
  <si>
    <t>Matthew Wise</t>
  </si>
  <si>
    <t>Ben Weber</t>
  </si>
  <si>
    <t>Shawn Wooten</t>
  </si>
  <si>
    <t>David Eckstein</t>
  </si>
  <si>
    <t>dl-Rendy Espina</t>
  </si>
  <si>
    <t>Wally Joyner</t>
  </si>
  <si>
    <t>dl-Albert Belle</t>
  </si>
  <si>
    <t>David Segui</t>
  </si>
  <si>
    <t>Brady Anderson</t>
  </si>
  <si>
    <t>Scott Erickson</t>
  </si>
  <si>
    <t>Mike Bordick</t>
  </si>
  <si>
    <t>Delino Deshields</t>
  </si>
  <si>
    <t>Pat Hentgen</t>
  </si>
  <si>
    <t>Jeff Conine</t>
  </si>
  <si>
    <t>dl-Alan Mills</t>
  </si>
  <si>
    <t>Jose Mercedes</t>
  </si>
  <si>
    <t>Mike Trombley</t>
  </si>
  <si>
    <t>Sidney Ponson</t>
  </si>
  <si>
    <t>Buddy Groom</t>
  </si>
  <si>
    <t>Chuck McElroy</t>
  </si>
  <si>
    <t>Brook Fordyce</t>
  </si>
  <si>
    <t>Greg Myers</t>
  </si>
  <si>
    <t>Jason Johnson</t>
  </si>
  <si>
    <t>Melvin Mora</t>
  </si>
  <si>
    <t>Jerry Hairston</t>
  </si>
  <si>
    <t>Chris Richard</t>
  </si>
  <si>
    <t>Ryan Kohlmeier</t>
  </si>
  <si>
    <t>dl-Luis Matos</t>
  </si>
  <si>
    <t>Mike Kinkade</t>
  </si>
  <si>
    <t>B.J. Ryan</t>
  </si>
  <si>
    <t>Fernando Lunar</t>
  </si>
  <si>
    <t>dl-Luis Rivera</t>
  </si>
  <si>
    <t>Jay Gibbons</t>
  </si>
  <si>
    <t>Matthew Riley</t>
  </si>
  <si>
    <t>Manny Ramirez</t>
  </si>
  <si>
    <t>Pedro Martinez</t>
  </si>
  <si>
    <t>Carl Everett</t>
  </si>
  <si>
    <t>dl-Nomar Garciaparra</t>
  </si>
  <si>
    <t>Dante Bichette</t>
  </si>
  <si>
    <t>Jose Offerman</t>
  </si>
  <si>
    <t>dl-John Valentin</t>
  </si>
  <si>
    <t>Mike Lansing</t>
  </si>
  <si>
    <t>Troy O'Leary</t>
  </si>
  <si>
    <t>Rod Beck</t>
  </si>
  <si>
    <t>Hideo Nomo</t>
  </si>
  <si>
    <t>dl-Bret Saberhagen</t>
  </si>
  <si>
    <t>Tim Wakefield</t>
  </si>
  <si>
    <t>Darren Lewis</t>
  </si>
  <si>
    <t>Frank Castillo</t>
  </si>
  <si>
    <t>Derek Lowe</t>
  </si>
  <si>
    <t>Jason Varitek</t>
  </si>
  <si>
    <t>dl-Hipolito Pichardo</t>
  </si>
  <si>
    <t>Rolando Arrojo</t>
  </si>
  <si>
    <t>dl-Bryce Florie</t>
  </si>
  <si>
    <t>Rich Garces</t>
  </si>
  <si>
    <t>Chris Stynes</t>
  </si>
  <si>
    <t>Scott Hatteberg</t>
  </si>
  <si>
    <t>dl-David Cone</t>
  </si>
  <si>
    <t>Pete Schourek</t>
  </si>
  <si>
    <t>Craig Grebeck</t>
  </si>
  <si>
    <t>Brian Daubach</t>
  </si>
  <si>
    <t>Trot Nixon</t>
  </si>
  <si>
    <t>Tomokazu Ohka</t>
  </si>
  <si>
    <t>dl-Juan Pena</t>
  </si>
  <si>
    <t>Paxton Crawford</t>
  </si>
  <si>
    <t>Shea Hillenbrand</t>
  </si>
  <si>
    <t>Frank Thomas</t>
  </si>
  <si>
    <t>David Wells</t>
  </si>
  <si>
    <t>dl-James Baldwin</t>
  </si>
  <si>
    <t>Ray Durham</t>
  </si>
  <si>
    <t>Jose Valentin</t>
  </si>
  <si>
    <t>Royce Clayton</t>
  </si>
  <si>
    <t>Magglio Ordonez</t>
  </si>
  <si>
    <t>Keith Foulke</t>
  </si>
  <si>
    <t>Paul Konerko</t>
  </si>
  <si>
    <t>dl-Billy Simas</t>
  </si>
  <si>
    <t>Antonio Osuna</t>
  </si>
  <si>
    <t>Harold Baines</t>
  </si>
  <si>
    <t>Herbert Perry</t>
  </si>
  <si>
    <t>Cal Eldred</t>
  </si>
  <si>
    <t>Jim Parque</t>
  </si>
  <si>
    <t>Carlos Lee</t>
  </si>
  <si>
    <t>Tony Graffanino</t>
  </si>
  <si>
    <t>Bobby Howry</t>
  </si>
  <si>
    <t>Chris Singleton</t>
  </si>
  <si>
    <t>Sean Lowe</t>
  </si>
  <si>
    <t>Kelly Wunsch</t>
  </si>
  <si>
    <t>Josh Paul</t>
  </si>
  <si>
    <t>Mark Buehrle</t>
  </si>
  <si>
    <t>Lee Biddle</t>
  </si>
  <si>
    <t>Julio Ramirez</t>
  </si>
  <si>
    <t>Gary Glover</t>
  </si>
  <si>
    <t>Juan Gonzalez</t>
  </si>
  <si>
    <t>Chuck Finley</t>
  </si>
  <si>
    <t>Jim Thome</t>
  </si>
  <si>
    <t>Kenny Lofton</t>
  </si>
  <si>
    <t>Roberto Alomar</t>
  </si>
  <si>
    <t>dl-Charles Nagy</t>
  </si>
  <si>
    <t>dl-Travis Fryman</t>
  </si>
  <si>
    <t>Ellis Burks</t>
  </si>
  <si>
    <t>Dave Burba</t>
  </si>
  <si>
    <t>Omar Vizquel</t>
  </si>
  <si>
    <t>Steve Karsay</t>
  </si>
  <si>
    <t>Wil Cordero</t>
  </si>
  <si>
    <t>Bartolo Colon</t>
  </si>
  <si>
    <t>Bob Wickman</t>
  </si>
  <si>
    <t>dl-Jaret Wright</t>
  </si>
  <si>
    <t>Paul Shuey</t>
  </si>
  <si>
    <t>Eddie Taubensee</t>
  </si>
  <si>
    <t>Steve Reed</t>
  </si>
  <si>
    <t>Ricardo Rincon</t>
  </si>
  <si>
    <t>Steve Woodard</t>
  </si>
  <si>
    <t>Marty Cordova</t>
  </si>
  <si>
    <t>Einar Diaz</t>
  </si>
  <si>
    <t>Justin Speier</t>
  </si>
  <si>
    <t>Jolbert Cabrera</t>
  </si>
  <si>
    <t>Jacob Cruz</t>
  </si>
  <si>
    <t>Russell Branyan</t>
  </si>
  <si>
    <t>dl-David Roberts</t>
  </si>
  <si>
    <t>John McDonald</t>
  </si>
  <si>
    <t>dl-Cameron Cairncross</t>
  </si>
  <si>
    <t>Timothy Drew</t>
  </si>
  <si>
    <t>dl-Dean Palmer</t>
  </si>
  <si>
    <t>Bobby Higginson</t>
  </si>
  <si>
    <t>Dave Mlicki</t>
  </si>
  <si>
    <t>Damion Easley</t>
  </si>
  <si>
    <t>Tony Clark</t>
  </si>
  <si>
    <t>Todd Jones</t>
  </si>
  <si>
    <t>Deivi Cruz</t>
  </si>
  <si>
    <t>Roger Cedeno</t>
  </si>
  <si>
    <t>Brian Moehler</t>
  </si>
  <si>
    <t>Chris Holt</t>
  </si>
  <si>
    <t>C.J. Nitkowski</t>
  </si>
  <si>
    <t>Danny Patterson</t>
  </si>
  <si>
    <t>Steve Sparks</t>
  </si>
  <si>
    <t>Juan Encarnacion</t>
  </si>
  <si>
    <t>Jeff Weaver</t>
  </si>
  <si>
    <t>Shane Halter</t>
  </si>
  <si>
    <t>Matt Anderson</t>
  </si>
  <si>
    <t>dl-Mitch Meluskey</t>
  </si>
  <si>
    <t>Wendell Magree</t>
  </si>
  <si>
    <t>Billy McMillon</t>
  </si>
  <si>
    <t>Robert Fick</t>
  </si>
  <si>
    <t>Matt Perisho</t>
  </si>
  <si>
    <t>Ryan Jackson</t>
  </si>
  <si>
    <t>dl-Seth Greisinger</t>
  </si>
  <si>
    <t>Jose Macias</t>
  </si>
  <si>
    <t>Javier Cardona</t>
  </si>
  <si>
    <t>Jermaine Clark</t>
  </si>
  <si>
    <t>Brandon Inge</t>
  </si>
  <si>
    <t>Roberto Hernandez</t>
  </si>
  <si>
    <t>Mike Sweeney</t>
  </si>
  <si>
    <t>Jermaine Dye</t>
  </si>
  <si>
    <t>dl-Jose Rosado</t>
  </si>
  <si>
    <t>Jeff Suppan</t>
  </si>
  <si>
    <t>Joe Randa</t>
  </si>
  <si>
    <t>Rey Sanchez</t>
  </si>
  <si>
    <t>Brian Meadows</t>
  </si>
  <si>
    <t>Doug Henry</t>
  </si>
  <si>
    <t>dl-Gregg Zaun</t>
  </si>
  <si>
    <t>Luis Alicea</t>
  </si>
  <si>
    <t>Jason Grimsley</t>
  </si>
  <si>
    <t>Dave McCarty</t>
  </si>
  <si>
    <t>Carlos Beltran</t>
  </si>
  <si>
    <t>Mac Suzuki</t>
  </si>
  <si>
    <t>Carlos Febles</t>
  </si>
  <si>
    <t>Mark Quinn</t>
  </si>
  <si>
    <t>Blake Stein</t>
  </si>
  <si>
    <t>Dan Reichert</t>
  </si>
  <si>
    <t>A.J. Hinch</t>
  </si>
  <si>
    <t>Jose Santiago</t>
  </si>
  <si>
    <t>Luis Ordaz</t>
  </si>
  <si>
    <t>Hector Ortiz</t>
  </si>
  <si>
    <t>Chad Durbin</t>
  </si>
  <si>
    <t>Dee Brown</t>
  </si>
  <si>
    <t>Kris Wilson</t>
  </si>
  <si>
    <t>dl-Scott Mullen</t>
  </si>
  <si>
    <t>dl-Orber Moreno</t>
  </si>
  <si>
    <t>Tony Cogan</t>
  </si>
  <si>
    <t>Brad Radke</t>
  </si>
  <si>
    <t>Matt Lawton</t>
  </si>
  <si>
    <t>Eric Milton</t>
  </si>
  <si>
    <t>Eddie Guardado</t>
  </si>
  <si>
    <t>Latroy Hawkins</t>
  </si>
  <si>
    <t>Bob Wells</t>
  </si>
  <si>
    <t>Denny Hocking</t>
  </si>
  <si>
    <t>Corey Koskie</t>
  </si>
  <si>
    <t>Hector Carrasco</t>
  </si>
  <si>
    <t>Tom Prince</t>
  </si>
  <si>
    <t>Cristian Guzman</t>
  </si>
  <si>
    <t>Jacque Jones</t>
  </si>
  <si>
    <t>Joe Mays</t>
  </si>
  <si>
    <t>David Ortiz</t>
  </si>
  <si>
    <t>Travis Miller</t>
  </si>
  <si>
    <t>Torri Hunter</t>
  </si>
  <si>
    <t>John Allen</t>
  </si>
  <si>
    <t>dl-Jay Canizaro</t>
  </si>
  <si>
    <t>Mark Redman</t>
  </si>
  <si>
    <t>Jason Maxwell</t>
  </si>
  <si>
    <t>Doug Mientkiewicz</t>
  </si>
  <si>
    <t>Johan Santana</t>
  </si>
  <si>
    <t>A.J. Pierzynski</t>
  </si>
  <si>
    <t>Juan Romero</t>
  </si>
  <si>
    <t>Brian Buchanan</t>
  </si>
  <si>
    <t>dl-John Barnes</t>
  </si>
  <si>
    <t>Luis Rivas</t>
  </si>
  <si>
    <t>dl-Derek Jeter</t>
  </si>
  <si>
    <t>Bernie Williams</t>
  </si>
  <si>
    <t>Roger Clemens</t>
  </si>
  <si>
    <t>Mike Mussina</t>
  </si>
  <si>
    <t>Mariano Rivera</t>
  </si>
  <si>
    <t>David Justice</t>
  </si>
  <si>
    <t>Andy Pettitte</t>
  </si>
  <si>
    <t>Paul O'Neill</t>
  </si>
  <si>
    <t>Chuck Knoblauch</t>
  </si>
  <si>
    <t>Tino Martinez</t>
  </si>
  <si>
    <t>Scott Brosius</t>
  </si>
  <si>
    <t>Jorge Posada</t>
  </si>
  <si>
    <t>Mike Stanton</t>
  </si>
  <si>
    <t>Orlando Hernandez</t>
  </si>
  <si>
    <t>dl-Allen Watson</t>
  </si>
  <si>
    <t>dl-Ramiro Mendoza</t>
  </si>
  <si>
    <t>Joe Oliver</t>
  </si>
  <si>
    <t>dl-Henry Rodriguez</t>
  </si>
  <si>
    <t>Alfonso Soriano</t>
  </si>
  <si>
    <t>Luis Sojo</t>
  </si>
  <si>
    <t>Brian Boehringer</t>
  </si>
  <si>
    <t>dl-Shane Spencer</t>
  </si>
  <si>
    <t>Todd Williams</t>
  </si>
  <si>
    <t>Carlos Almanzar</t>
  </si>
  <si>
    <t>Clay Bellinger</t>
  </si>
  <si>
    <t>dl-Darrell Einertson</t>
  </si>
  <si>
    <t>Randy Choate</t>
  </si>
  <si>
    <t>Michael Coleman</t>
  </si>
  <si>
    <t>D'Angelo Jimenez</t>
  </si>
  <si>
    <t>Christian Parker</t>
  </si>
  <si>
    <t>Scott Seabol</t>
  </si>
  <si>
    <t>Johnny Damon</t>
  </si>
  <si>
    <t>Jason Giambi</t>
  </si>
  <si>
    <t>Gil Heredia</t>
  </si>
  <si>
    <t>Jason Isringhausen</t>
  </si>
  <si>
    <t>dl-John Jaha</t>
  </si>
  <si>
    <t>Miguel Tejada</t>
  </si>
  <si>
    <t>T.J. Mathews</t>
  </si>
  <si>
    <t>Mark Guthrie</t>
  </si>
  <si>
    <t>Jim Mecir</t>
  </si>
  <si>
    <t>Mike Magnante</t>
  </si>
  <si>
    <t>Eric Chavez</t>
  </si>
  <si>
    <t>Tim Hudson</t>
  </si>
  <si>
    <t>Sal Fasano</t>
  </si>
  <si>
    <t>Jeff Tam</t>
  </si>
  <si>
    <t>Robin Jennings</t>
  </si>
  <si>
    <t>Olmedo Saenz</t>
  </si>
  <si>
    <t>Jeremy Giambi</t>
  </si>
  <si>
    <t>Ryan Christenson</t>
  </si>
  <si>
    <t>Ramon Hernandez</t>
  </si>
  <si>
    <t>Terrence Long</t>
  </si>
  <si>
    <t>Barry Zito</t>
  </si>
  <si>
    <t>Mark Mulder</t>
  </si>
  <si>
    <t>Frank Menechino</t>
  </si>
  <si>
    <t>Adam Piatt</t>
  </si>
  <si>
    <t>Mario Valdez</t>
  </si>
  <si>
    <t>dl-Chad Harville</t>
  </si>
  <si>
    <t>Jose Ortiz</t>
  </si>
  <si>
    <t>Aaron Sele</t>
  </si>
  <si>
    <t>John Olerud</t>
  </si>
  <si>
    <t>Jamie Moyer</t>
  </si>
  <si>
    <t>Ichiro Suzuki</t>
  </si>
  <si>
    <t>Edgar Martinez</t>
  </si>
  <si>
    <t>Kazuhiro Sasaki</t>
  </si>
  <si>
    <t>Al Martin</t>
  </si>
  <si>
    <t>Dan Wilson</t>
  </si>
  <si>
    <t>Mike Cameron</t>
  </si>
  <si>
    <t>Jeff Nelson</t>
  </si>
  <si>
    <t>Bret Boone</t>
  </si>
  <si>
    <t>Arthur Rhodes</t>
  </si>
  <si>
    <t>David Bell</t>
  </si>
  <si>
    <t>Mark McLemore</t>
  </si>
  <si>
    <t>dl-Jay Buhner</t>
  </si>
  <si>
    <t>Paul Abbott</t>
  </si>
  <si>
    <t>dl-Chris Widger</t>
  </si>
  <si>
    <t>Stan Javier</t>
  </si>
  <si>
    <t>Tom Lampkin</t>
  </si>
  <si>
    <t>Brett Tomko</t>
  </si>
  <si>
    <t>Jose Paniagua</t>
  </si>
  <si>
    <t>Freddy Garcia</t>
  </si>
  <si>
    <t>John Halama</t>
  </si>
  <si>
    <t>Carlos Guillen</t>
  </si>
  <si>
    <t>dl-Gil Meche</t>
  </si>
  <si>
    <t>Charles Gipson</t>
  </si>
  <si>
    <t>Ryan Franklin</t>
  </si>
  <si>
    <t>Anthony Sanders</t>
  </si>
  <si>
    <t>dl-Wilson Alvarez</t>
  </si>
  <si>
    <t>Greg Vaughn</t>
  </si>
  <si>
    <t>Vinny Castilla</t>
  </si>
  <si>
    <t>Fred McGriff</t>
  </si>
  <si>
    <t>dl-Juan Guzman</t>
  </si>
  <si>
    <t>Albie Lopez</t>
  </si>
  <si>
    <t>Gerald Williams</t>
  </si>
  <si>
    <t>Ben Grieve</t>
  </si>
  <si>
    <t>John Flaherty</t>
  </si>
  <si>
    <t>Brian Rekar</t>
  </si>
  <si>
    <t>Jose Guillen</t>
  </si>
  <si>
    <t>Mike Difelice</t>
  </si>
  <si>
    <t>Ken Hill</t>
  </si>
  <si>
    <t>Ariel Prieto</t>
  </si>
  <si>
    <t>Esteban Yan</t>
  </si>
  <si>
    <t>Paul Wilson</t>
  </si>
  <si>
    <t>Russ Johnson</t>
  </si>
  <si>
    <t>Doug Creek</t>
  </si>
  <si>
    <t>Randy Winn</t>
  </si>
  <si>
    <t>Steve Cox</t>
  </si>
  <si>
    <t>Felix Martinez</t>
  </si>
  <si>
    <t>Bobby Smith</t>
  </si>
  <si>
    <t>Ryan Rupe</t>
  </si>
  <si>
    <t>Tanyon Sturtze</t>
  </si>
  <si>
    <t>Mike Judd</t>
  </si>
  <si>
    <t>Travis Harper</t>
  </si>
  <si>
    <t>Damian Rolls</t>
  </si>
  <si>
    <t>Alex Rodriguez</t>
  </si>
  <si>
    <t>Rafael Palmeiro</t>
  </si>
  <si>
    <t>Ivan Rodriguez</t>
  </si>
  <si>
    <t>Kenny Rogers</t>
  </si>
  <si>
    <t>Darren Oliver</t>
  </si>
  <si>
    <t>Andres Galarraga</t>
  </si>
  <si>
    <t>Rusty Greer</t>
  </si>
  <si>
    <t>Rick Helling</t>
  </si>
  <si>
    <t>Ken Caminiti</t>
  </si>
  <si>
    <t>Randy Velarde</t>
  </si>
  <si>
    <t>Mark Petkovsek</t>
  </si>
  <si>
    <t>Chad Curtis</t>
  </si>
  <si>
    <t>dl-Justin Thompson</t>
  </si>
  <si>
    <t>Tim Crabtree</t>
  </si>
  <si>
    <t>Frank Catalanotto</t>
  </si>
  <si>
    <t>dl-Bill Haselman</t>
  </si>
  <si>
    <t>Jeff Brantley</t>
  </si>
  <si>
    <t>Pat Mahomes</t>
  </si>
  <si>
    <t>dl-Gabe Kapler</t>
  </si>
  <si>
    <t>dl-Ricky Ledee</t>
  </si>
  <si>
    <t>Mike Venafro</t>
  </si>
  <si>
    <t>Jeff Zimmerman</t>
  </si>
  <si>
    <t>Ruben Mateo</t>
  </si>
  <si>
    <t>Doug Mirabelli</t>
  </si>
  <si>
    <t>dl-Francisco Cordero</t>
  </si>
  <si>
    <t>Scott Sheldon</t>
  </si>
  <si>
    <t>Doug Davis</t>
  </si>
  <si>
    <t>Ryan Glynn</t>
  </si>
  <si>
    <t>Bo Porter</t>
  </si>
  <si>
    <t>Jonathan Johnson</t>
  </si>
  <si>
    <t>dl-Danny Kolb</t>
  </si>
  <si>
    <t>Carlos Delgado</t>
  </si>
  <si>
    <t>Raul Mondesi</t>
  </si>
  <si>
    <t>Joey Hamilton</t>
  </si>
  <si>
    <t>Esteban Loaiza</t>
  </si>
  <si>
    <t>Darrin Fletcher</t>
  </si>
  <si>
    <t>Tony Batista</t>
  </si>
  <si>
    <t>dl-Mike Sirotka</t>
  </si>
  <si>
    <t>Chris Carpenter</t>
  </si>
  <si>
    <t>Homer Bush</t>
  </si>
  <si>
    <t>Brad Fullmer</t>
  </si>
  <si>
    <t>Steve Parris</t>
  </si>
  <si>
    <t>Dan Plesac</t>
  </si>
  <si>
    <t>Shannon Stewart</t>
  </si>
  <si>
    <t>Paul Quantrill</t>
  </si>
  <si>
    <t>Pedro Borbon</t>
  </si>
  <si>
    <t>Kelvim Escobar</t>
  </si>
  <si>
    <t>dl-Jeff Frye</t>
  </si>
  <si>
    <t>Lance Painter</t>
  </si>
  <si>
    <t>Billy Koch</t>
  </si>
  <si>
    <t>Alberto Castillo</t>
  </si>
  <si>
    <t>Brian Simmons</t>
  </si>
  <si>
    <t>Kevin Beirne</t>
  </si>
  <si>
    <t>Chris Woodward</t>
  </si>
  <si>
    <t>dl-Andy Thompson</t>
  </si>
  <si>
    <t>Ryan Freel</t>
  </si>
  <si>
    <t>Chris Michalek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</si>
</sst>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4"/>
      <color rgb="FF1D466B"/>
      <name val="Helvetica Neue"/>
      <charset val="1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color theme="1"/>
      <name val="Times New Roman"/>
      <charset val="1"/>
    </font>
    <font>
      <sz val="10"/>
      <color theme="1"/>
      <name val="Times New Roman"/>
      <charset val="1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b/>
      <sz val="10"/>
      <color rgb="FFC00000"/>
      <name val="Arial"/>
      <charset val="1"/>
    </font>
    <font>
      <b/>
      <sz val="10"/>
      <color rgb="FFCE181E"/>
      <name val="Arial"/>
      <charset val="1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000000"/>
      </top>
      <bottom style="thin">
        <color rgb="FF9E9E9E"/>
      </bottom>
      <diagonal/>
    </border>
    <border>
      <left style="thin">
        <color rgb="FF9E9E9E"/>
      </left>
      <right style="thin">
        <color rgb="FF000000"/>
      </right>
      <top style="thin">
        <color rgb="FF000000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000000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000000"/>
      </bottom>
      <diagonal/>
    </border>
    <border>
      <left style="thin">
        <color rgb="FF9E9E9E"/>
      </left>
      <right style="thin">
        <color rgb="FF000000"/>
      </right>
      <top style="thin">
        <color rgb="FF9E9E9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quotePrefix="1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quotePrefix="1" applyFont="1" applyBorder="1"/>
    <xf numFmtId="0" fontId="5" fillId="0" borderId="11" xfId="0" applyFont="1" applyBorder="1"/>
    <xf numFmtId="0" fontId="5" fillId="0" borderId="14" xfId="0" applyFont="1" applyBorder="1"/>
    <xf numFmtId="0" fontId="6" fillId="0" borderId="0" xfId="0" applyFont="1"/>
    <xf numFmtId="0" fontId="6" fillId="0" borderId="15" xfId="0" applyFont="1" applyBorder="1"/>
    <xf numFmtId="14" fontId="6" fillId="0" borderId="16" xfId="0" applyNumberFormat="1" applyFont="1" applyBorder="1"/>
    <xf numFmtId="14" fontId="6" fillId="0" borderId="17" xfId="0" applyNumberFormat="1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14" fontId="6" fillId="0" borderId="21" xfId="0" applyNumberFormat="1" applyFont="1" applyBorder="1"/>
    <xf numFmtId="0" fontId="6" fillId="0" borderId="22" xfId="0" applyFont="1" applyBorder="1"/>
    <xf numFmtId="14" fontId="6" fillId="0" borderId="18" xfId="0" applyNumberFormat="1" applyFont="1" applyBorder="1"/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6" fillId="0" borderId="21" xfId="0" applyFont="1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25" xfId="0" applyFont="1" applyBorder="1"/>
    <xf numFmtId="0" fontId="5" fillId="0" borderId="26" xfId="0" applyFont="1" applyBorder="1"/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27" xfId="0" applyBorder="1"/>
    <xf numFmtId="0" fontId="0" fillId="0" borderId="28" xfId="0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2" fillId="0" borderId="31" xfId="0" applyFont="1" applyBorder="1"/>
    <xf numFmtId="0" fontId="2" fillId="0" borderId="32" xfId="0" applyFont="1" applyBorder="1"/>
    <xf numFmtId="0" fontId="3" fillId="0" borderId="32" xfId="0" applyFont="1" applyBorder="1"/>
    <xf numFmtId="0" fontId="3" fillId="0" borderId="33" xfId="0" applyFont="1" applyBorder="1"/>
    <xf numFmtId="0" fontId="0" fillId="0" borderId="31" xfId="0" applyBorder="1"/>
    <xf numFmtId="0" fontId="0" fillId="0" borderId="13" xfId="0" applyBorder="1"/>
    <xf numFmtId="0" fontId="0" fillId="0" borderId="27" xfId="0" applyBorder="1" applyAlignment="1">
      <alignment horizontal="center"/>
    </xf>
    <xf numFmtId="0" fontId="0" fillId="0" borderId="26" xfId="0" applyBorder="1"/>
    <xf numFmtId="0" fontId="0" fillId="0" borderId="34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14" fontId="6" fillId="0" borderId="0" xfId="0" applyNumberFormat="1" applyFont="1"/>
    <xf numFmtId="14" fontId="6" fillId="0" borderId="22" xfId="0" applyNumberFormat="1" applyFont="1" applyBorder="1"/>
    <xf numFmtId="0" fontId="7" fillId="0" borderId="23" xfId="0" applyFont="1" applyBorder="1"/>
    <xf numFmtId="0" fontId="7" fillId="0" borderId="24" xfId="0" applyFont="1" applyBorder="1"/>
    <xf numFmtId="0" fontId="7" fillId="0" borderId="1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33" xfId="0" applyBorder="1"/>
    <xf numFmtId="0" fontId="0" fillId="0" borderId="8" xfId="0" applyBorder="1"/>
    <xf numFmtId="0" fontId="0" fillId="0" borderId="9" xfId="0" applyBorder="1"/>
    <xf numFmtId="0" fontId="0" fillId="0" borderId="15" xfId="0" applyBorder="1" applyAlignment="1">
      <alignment wrapText="1"/>
    </xf>
    <xf numFmtId="0" fontId="0" fillId="0" borderId="17" xfId="0" applyBorder="1"/>
    <xf numFmtId="0" fontId="0" fillId="0" borderId="24" xfId="0" applyBorder="1"/>
    <xf numFmtId="0" fontId="5" fillId="0" borderId="7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6" fillId="2" borderId="0" xfId="0" applyFont="1" applyFill="1"/>
    <xf numFmtId="0" fontId="8" fillId="0" borderId="0" xfId="0" applyFont="1"/>
    <xf numFmtId="0" fontId="9" fillId="0" borderId="0" xfId="0" applyFont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4" xfId="0" applyFont="1" applyBorder="1"/>
    <xf numFmtId="0" fontId="10" fillId="0" borderId="11" xfId="0" quotePrefix="1" applyFont="1" applyBorder="1"/>
    <xf numFmtId="0" fontId="6" fillId="0" borderId="13" xfId="0" applyFont="1" applyBorder="1"/>
    <xf numFmtId="0" fontId="10" fillId="0" borderId="14" xfId="0" quotePrefix="1" applyFont="1" applyBorder="1"/>
    <xf numFmtId="0" fontId="8" fillId="0" borderId="8" xfId="0" applyFont="1" applyBorder="1"/>
    <xf numFmtId="0" fontId="8" fillId="0" borderId="35" xfId="0" applyFont="1" applyBorder="1"/>
    <xf numFmtId="0" fontId="0" fillId="0" borderId="0" xfId="0" applyAlignment="1">
      <alignment horizontal="center" vertical="center" wrapText="1"/>
    </xf>
    <xf numFmtId="0" fontId="8" fillId="0" borderId="21" xfId="0" applyFont="1" applyBorder="1"/>
    <xf numFmtId="0" fontId="8" fillId="0" borderId="22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0" fillId="0" borderId="23" xfId="0" applyBorder="1"/>
    <xf numFmtId="0" fontId="8" fillId="0" borderId="2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11" fillId="0" borderId="34" xfId="0" applyFont="1" applyBorder="1"/>
    <xf numFmtId="0" fontId="8" fillId="0" borderId="7" xfId="0" applyFont="1" applyBorder="1"/>
    <xf numFmtId="0" fontId="8" fillId="0" borderId="12" xfId="0" applyFont="1" applyBorder="1"/>
    <xf numFmtId="0" fontId="9" fillId="0" borderId="7" xfId="0" applyFont="1" applyBorder="1"/>
    <xf numFmtId="0" fontId="3" fillId="0" borderId="11" xfId="0" applyFont="1" applyBorder="1"/>
    <xf numFmtId="0" fontId="9" fillId="0" borderId="13" xfId="0" applyFont="1" applyBorder="1"/>
    <xf numFmtId="0" fontId="3" fillId="0" borderId="14" xfId="0" applyFont="1" applyBorder="1"/>
    <xf numFmtId="0" fontId="7" fillId="0" borderId="9" xfId="0" applyFont="1" applyBorder="1"/>
    <xf numFmtId="0" fontId="8" fillId="0" borderId="10" xfId="0" applyFont="1" applyBorder="1"/>
    <xf numFmtId="0" fontId="8" fillId="0" borderId="13" xfId="0" applyFont="1" applyBorder="1"/>
    <xf numFmtId="0" fontId="0" fillId="0" borderId="2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4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E2" sqref="E2:G2"/>
    </sheetView>
  </sheetViews>
  <sheetFormatPr defaultRowHeight="15"/>
  <cols>
    <col min="1" max="1" width="16.85546875" customWidth="1"/>
    <col min="2" max="2" width="14" customWidth="1"/>
  </cols>
  <sheetData>
    <row r="1" spans="1:7">
      <c r="A1" s="133" t="s">
        <v>0</v>
      </c>
      <c r="B1" s="134"/>
      <c r="C1" s="135"/>
    </row>
    <row r="2" spans="1:7" s="7" customFormat="1">
      <c r="A2" s="37" t="s">
        <v>1</v>
      </c>
      <c r="B2" s="7" t="s">
        <v>2</v>
      </c>
      <c r="C2" s="38" t="s">
        <v>3</v>
      </c>
      <c r="E2" s="60" t="s">
        <v>4</v>
      </c>
      <c r="F2" s="62" t="s">
        <v>5</v>
      </c>
      <c r="G2" s="63" t="s">
        <v>6</v>
      </c>
    </row>
    <row r="3" spans="1:7">
      <c r="A3" s="33">
        <v>123</v>
      </c>
      <c r="B3" t="s">
        <v>7</v>
      </c>
      <c r="C3" s="34">
        <v>7.2</v>
      </c>
      <c r="E3" s="51">
        <v>124</v>
      </c>
      <c r="F3" s="61" t="s">
        <v>3</v>
      </c>
      <c r="G3" s="52">
        <f>VLOOKUP(A4, A3:C5, 3, FALSE)</f>
        <v>8.4</v>
      </c>
    </row>
    <row r="4" spans="1:7">
      <c r="A4" s="33">
        <v>124</v>
      </c>
      <c r="B4" t="s">
        <v>8</v>
      </c>
      <c r="C4" s="34">
        <v>8.4</v>
      </c>
      <c r="E4" s="45">
        <v>123</v>
      </c>
      <c r="F4" s="44" t="s">
        <v>3</v>
      </c>
      <c r="G4" s="46">
        <f>VLOOKUP(A3, A3:C5, 3, FALSE)</f>
        <v>7.2</v>
      </c>
    </row>
    <row r="5" spans="1:7">
      <c r="A5" s="35">
        <v>125</v>
      </c>
      <c r="B5" s="43" t="s">
        <v>9</v>
      </c>
      <c r="C5" s="36">
        <v>9.6</v>
      </c>
      <c r="E5" s="47">
        <v>125</v>
      </c>
      <c r="F5" s="59" t="s">
        <v>3</v>
      </c>
      <c r="G5" s="48">
        <f>VLOOKUP(A5, A3:C5, 3, FALSE)</f>
        <v>9.6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9E65-827D-4393-8E69-D6CDA9BBB315}">
  <dimension ref="A1:H12"/>
  <sheetViews>
    <sheetView workbookViewId="0">
      <selection sqref="A1:F5"/>
    </sheetView>
  </sheetViews>
  <sheetFormatPr defaultRowHeight="15"/>
  <cols>
    <col min="1" max="1" width="14.5703125" customWidth="1"/>
  </cols>
  <sheetData>
    <row r="1" spans="1:8" ht="4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2" t="s">
        <v>15</v>
      </c>
    </row>
    <row r="2" spans="1:8" ht="2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</row>
    <row r="3" spans="1:8" ht="2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4" t="s">
        <v>27</v>
      </c>
    </row>
    <row r="4" spans="1:8" ht="20.25">
      <c r="A4" s="3" t="s">
        <v>28</v>
      </c>
      <c r="B4" s="3" t="s">
        <v>24</v>
      </c>
      <c r="C4" s="3" t="s">
        <v>29</v>
      </c>
      <c r="D4" s="3" t="s">
        <v>30</v>
      </c>
      <c r="E4" s="3" t="s">
        <v>31</v>
      </c>
      <c r="F4" s="4" t="s">
        <v>32</v>
      </c>
    </row>
    <row r="5" spans="1:8" ht="20.25">
      <c r="A5" s="5" t="s">
        <v>33</v>
      </c>
      <c r="B5" s="5" t="s">
        <v>18</v>
      </c>
      <c r="C5" s="5" t="s">
        <v>34</v>
      </c>
      <c r="D5" s="5" t="s">
        <v>35</v>
      </c>
      <c r="E5" s="5" t="s">
        <v>36</v>
      </c>
      <c r="F5" s="6" t="s">
        <v>37</v>
      </c>
    </row>
    <row r="7" spans="1:8">
      <c r="E7" s="49" t="s">
        <v>4</v>
      </c>
      <c r="F7" s="50" t="s">
        <v>5</v>
      </c>
      <c r="G7" s="53" t="s">
        <v>6</v>
      </c>
      <c r="H7" s="58"/>
    </row>
    <row r="8" spans="1:8">
      <c r="E8" s="51">
        <v>125</v>
      </c>
      <c r="F8" s="52" t="s">
        <v>38</v>
      </c>
      <c r="G8" t="str">
        <f>VLOOKUP(A4, A2:F5, 2, FALSE)</f>
        <v>11​</v>
      </c>
      <c r="H8" s="54" t="str">
        <f ca="1">_xlfn.FORMULATEXT(G8)</f>
        <v>=VLOOKUP(A4, A2:F5, 2, FALSE)</v>
      </c>
    </row>
    <row r="9" spans="1:8">
      <c r="E9" s="45">
        <v>125</v>
      </c>
      <c r="F9" s="46" t="s">
        <v>39</v>
      </c>
      <c r="G9" t="str">
        <f>VLOOKUP(A4, A2:F5, 3, FALSE)</f>
        <v>13​</v>
      </c>
      <c r="H9" s="55" t="str">
        <f ca="1">_xlfn.FORMULATEXT(G9)</f>
        <v>=VLOOKUP(A4, A2:F5, 3, FALSE)</v>
      </c>
    </row>
    <row r="10" spans="1:8">
      <c r="E10" s="45">
        <v>125</v>
      </c>
      <c r="F10" s="46" t="s">
        <v>40</v>
      </c>
      <c r="G10" t="str">
        <f>VLOOKUP(A4, A2:F5, 4, FALSE)</f>
        <v>25​</v>
      </c>
      <c r="H10" s="56" t="str">
        <f ca="1">_xlfn.FORMULATEXT(G10)</f>
        <v>=VLOOKUP(A4, A2:F5, 4, FALSE)</v>
      </c>
    </row>
    <row r="11" spans="1:8">
      <c r="E11" s="45">
        <v>125</v>
      </c>
      <c r="F11" s="46" t="s">
        <v>41</v>
      </c>
      <c r="G11" t="str">
        <f>VLOOKUP(A4, A2:F5, 5, FALSE)</f>
        <v>40​</v>
      </c>
      <c r="H11" s="56" t="str">
        <f ca="1">_xlfn.FORMULATEXT(G11)</f>
        <v>=VLOOKUP(A4, A2:F5, 5, FALSE)</v>
      </c>
    </row>
    <row r="12" spans="1:8">
      <c r="E12" s="47">
        <v>125</v>
      </c>
      <c r="F12" s="48" t="s">
        <v>42</v>
      </c>
      <c r="G12" s="43" t="str">
        <f>VLOOKUP(A4, A2:F5, 6, FALSE)</f>
        <v>89​</v>
      </c>
      <c r="H12" s="57" t="str">
        <f ca="1">_xlfn.FORMULATEXT(G12)</f>
        <v>=VLOOKUP(A4, A2:F5, 6, FALSE)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E977-C7A7-43B7-8D5E-DF12646E49B1}">
  <dimension ref="C3:F18"/>
  <sheetViews>
    <sheetView topLeftCell="C5" workbookViewId="0">
      <selection activeCell="D5" sqref="D5"/>
    </sheetView>
  </sheetViews>
  <sheetFormatPr defaultRowHeight="15"/>
  <cols>
    <col min="5" max="5" width="11.140625" customWidth="1"/>
    <col min="6" max="6" width="25.5703125" bestFit="1" customWidth="1"/>
  </cols>
  <sheetData>
    <row r="3" spans="3:6">
      <c r="C3" s="8" t="s">
        <v>43</v>
      </c>
      <c r="D3" s="9"/>
      <c r="E3" s="9"/>
      <c r="F3" s="9"/>
    </row>
    <row r="4" spans="3:6">
      <c r="C4" s="9"/>
      <c r="D4" s="9"/>
      <c r="E4" s="9"/>
      <c r="F4" s="9"/>
    </row>
    <row r="5" spans="3:6">
      <c r="C5" s="9"/>
      <c r="D5" s="11" t="s">
        <v>44</v>
      </c>
      <c r="E5" s="12" t="s">
        <v>45</v>
      </c>
      <c r="F5" s="9"/>
    </row>
    <row r="6" spans="3:6">
      <c r="C6" s="9"/>
      <c r="D6" s="13">
        <v>0</v>
      </c>
      <c r="E6" s="18">
        <v>0.15</v>
      </c>
      <c r="F6" s="9"/>
    </row>
    <row r="7" spans="3:6">
      <c r="C7" s="9"/>
      <c r="D7" s="13">
        <v>10000</v>
      </c>
      <c r="E7" s="18">
        <v>0.3</v>
      </c>
      <c r="F7" s="9"/>
    </row>
    <row r="8" spans="3:6">
      <c r="C8" s="9"/>
      <c r="D8" s="13">
        <v>30000</v>
      </c>
      <c r="E8" s="18">
        <v>0.34</v>
      </c>
      <c r="F8" s="9"/>
    </row>
    <row r="9" spans="3:6">
      <c r="C9" s="9"/>
      <c r="D9" s="15">
        <v>100000</v>
      </c>
      <c r="E9" s="19">
        <v>0.4</v>
      </c>
      <c r="F9" s="9"/>
    </row>
    <row r="10" spans="3:6">
      <c r="C10" s="9"/>
      <c r="D10" s="9"/>
      <c r="E10" s="9"/>
      <c r="F10" s="9"/>
    </row>
    <row r="11" spans="3:6">
      <c r="C11" s="9"/>
      <c r="D11" s="41" t="s">
        <v>46</v>
      </c>
      <c r="E11" s="42" t="s">
        <v>6</v>
      </c>
      <c r="F11" s="9" t="s">
        <v>47</v>
      </c>
    </row>
    <row r="12" spans="3:6">
      <c r="C12" s="9"/>
      <c r="D12" s="39" t="s">
        <v>44</v>
      </c>
      <c r="E12" s="40" t="s">
        <v>48</v>
      </c>
      <c r="F12" s="12"/>
    </row>
    <row r="13" spans="3:6">
      <c r="C13" s="9"/>
      <c r="D13" s="13">
        <v>-1000</v>
      </c>
      <c r="E13" s="10" t="s">
        <v>49</v>
      </c>
      <c r="F13" s="14" t="s">
        <v>50</v>
      </c>
    </row>
    <row r="14" spans="3:6">
      <c r="C14" s="9"/>
      <c r="D14" s="13">
        <v>30000</v>
      </c>
      <c r="E14" s="10">
        <v>0.34</v>
      </c>
      <c r="F14" s="14" t="s">
        <v>51</v>
      </c>
    </row>
    <row r="15" spans="3:6">
      <c r="C15" s="9"/>
      <c r="D15" s="13">
        <v>29000</v>
      </c>
      <c r="E15" s="10">
        <v>0.3</v>
      </c>
      <c r="F15" s="14" t="s">
        <v>52</v>
      </c>
    </row>
    <row r="16" spans="3:6">
      <c r="C16" s="9"/>
      <c r="D16" s="13">
        <v>98000</v>
      </c>
      <c r="E16" s="10">
        <v>0.34</v>
      </c>
      <c r="F16" s="14" t="s">
        <v>53</v>
      </c>
    </row>
    <row r="17" spans="3:6">
      <c r="C17" s="9"/>
      <c r="D17" s="15">
        <v>104000</v>
      </c>
      <c r="E17" s="16">
        <v>0.4</v>
      </c>
      <c r="F17" s="17" t="s">
        <v>54</v>
      </c>
    </row>
    <row r="18" spans="3:6">
      <c r="C18" s="9"/>
      <c r="D18" s="9"/>
      <c r="E18" s="9"/>
      <c r="F1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FD29-81E4-4637-AE9E-A95DBD79D73C}">
  <dimension ref="A1:E11"/>
  <sheetViews>
    <sheetView workbookViewId="0">
      <selection activeCell="B12" sqref="B12"/>
    </sheetView>
  </sheetViews>
  <sheetFormatPr defaultRowHeight="15"/>
  <cols>
    <col min="2" max="2" width="12.85546875" bestFit="1" customWidth="1"/>
    <col min="5" max="5" width="30.85546875" bestFit="1" customWidth="1"/>
    <col min="8" max="8" width="0.140625" customWidth="1"/>
  </cols>
  <sheetData>
    <row r="1" spans="1:5">
      <c r="A1" s="136" t="s">
        <v>0</v>
      </c>
      <c r="B1" s="136"/>
      <c r="C1" s="136"/>
      <c r="D1" s="136"/>
    </row>
    <row r="2" spans="1:5">
      <c r="A2" s="21" t="s">
        <v>55</v>
      </c>
      <c r="B2" s="22">
        <v>38353</v>
      </c>
      <c r="C2" s="22">
        <v>38473</v>
      </c>
      <c r="D2" s="23">
        <v>38565</v>
      </c>
    </row>
    <row r="3" spans="1:5">
      <c r="A3" s="24" t="s">
        <v>56</v>
      </c>
      <c r="B3" s="25">
        <v>98</v>
      </c>
      <c r="C3" s="25">
        <v>105</v>
      </c>
      <c r="D3" s="26">
        <v>112</v>
      </c>
    </row>
    <row r="4" spans="1:5">
      <c r="A4" s="20"/>
      <c r="B4" s="20"/>
      <c r="C4" s="20"/>
      <c r="D4" s="20"/>
    </row>
    <row r="5" spans="1:5">
      <c r="A5" s="20"/>
      <c r="B5" s="20"/>
      <c r="C5" s="20" t="s">
        <v>57</v>
      </c>
      <c r="D5" s="20"/>
    </row>
    <row r="6" spans="1:5">
      <c r="A6" s="20"/>
      <c r="B6" s="30" t="s">
        <v>46</v>
      </c>
      <c r="C6" s="31" t="s">
        <v>6</v>
      </c>
      <c r="D6" s="20"/>
    </row>
    <row r="7" spans="1:5">
      <c r="A7" s="20"/>
      <c r="B7" s="32" t="s">
        <v>55</v>
      </c>
      <c r="C7" s="28" t="s">
        <v>56</v>
      </c>
      <c r="D7" s="20"/>
    </row>
    <row r="8" spans="1:5">
      <c r="A8" s="20"/>
      <c r="B8" s="27">
        <v>38356</v>
      </c>
      <c r="C8" s="28">
        <f>HLOOKUP(B8,B2:D3, 2, TRUE)</f>
        <v>98</v>
      </c>
      <c r="E8" s="20" t="str">
        <f ca="1">_xlfn.FORMULATEXT(C8)</f>
        <v>=HLOOKUP(B8,B2:D3, 2, TRUE)</v>
      </c>
    </row>
    <row r="9" spans="1:5">
      <c r="A9" s="20"/>
      <c r="B9" s="27">
        <v>38482</v>
      </c>
      <c r="C9" s="28">
        <f>HLOOKUP(B9,B2:D3, 2, TRUE)</f>
        <v>105</v>
      </c>
      <c r="E9" s="20" t="str">
        <f ca="1">_xlfn.FORMULATEXT(C9)</f>
        <v>=HLOOKUP(B9,B2:D3, 2, TRUE)</v>
      </c>
    </row>
    <row r="10" spans="1:5">
      <c r="A10" s="20"/>
      <c r="B10" s="27">
        <v>38605</v>
      </c>
      <c r="C10" s="28">
        <f>HLOOKUP(B10, B2:D3, 2, TRUE)</f>
        <v>112</v>
      </c>
      <c r="E10" s="20" t="str">
        <f ca="1">_xlfn.FORMULATEXT(C10)</f>
        <v>=HLOOKUP(B10, B2:D3, 2, TRUE)</v>
      </c>
    </row>
    <row r="11" spans="1:5">
      <c r="A11" s="20"/>
      <c r="B11" s="29">
        <v>38473</v>
      </c>
      <c r="C11" s="26">
        <f>HLOOKUP(B11, B2:D3, 2, TRUE)</f>
        <v>105</v>
      </c>
      <c r="E11" s="20" t="str">
        <f ca="1">_xlfn.FORMULATEXT(C11)</f>
        <v>=HLOOKUP(B11, B2:D3, 2, TRUE)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A8A0-D252-40FF-BBF4-D32B97C16C31}">
  <dimension ref="A1:O19"/>
  <sheetViews>
    <sheetView workbookViewId="0">
      <selection sqref="A1:H1048576"/>
    </sheetView>
  </sheetViews>
  <sheetFormatPr defaultRowHeight="15"/>
  <cols>
    <col min="1" max="2" width="9.140625" hidden="1" customWidth="1"/>
    <col min="3" max="3" width="12.85546875" hidden="1" customWidth="1"/>
    <col min="4" max="5" width="9.140625" hidden="1" customWidth="1"/>
    <col min="6" max="6" width="30.85546875" hidden="1" customWidth="1"/>
    <col min="7" max="7" width="9.140625" hidden="1" customWidth="1"/>
    <col min="8" max="8" width="0" hidden="1" customWidth="1"/>
    <col min="9" max="9" width="0.140625" customWidth="1"/>
    <col min="10" max="10" width="16.140625" customWidth="1"/>
    <col min="11" max="11" width="9.28515625" customWidth="1"/>
  </cols>
  <sheetData>
    <row r="1" spans="1:15">
      <c r="A1" s="141" t="s">
        <v>58</v>
      </c>
      <c r="B1" s="137" t="s">
        <v>0</v>
      </c>
      <c r="C1" s="137"/>
      <c r="D1" s="137"/>
      <c r="E1" s="138"/>
      <c r="H1" s="141" t="s">
        <v>59</v>
      </c>
      <c r="J1" s="136" t="s">
        <v>0</v>
      </c>
      <c r="K1" s="136"/>
      <c r="L1" s="136"/>
      <c r="M1" s="136"/>
      <c r="N1" s="136"/>
      <c r="O1" s="136"/>
    </row>
    <row r="2" spans="1:15" ht="42">
      <c r="A2" s="142"/>
      <c r="B2" s="20" t="s">
        <v>55</v>
      </c>
      <c r="C2" s="73">
        <v>38353</v>
      </c>
      <c r="D2" s="73">
        <v>38473</v>
      </c>
      <c r="E2" s="74">
        <v>38565</v>
      </c>
      <c r="H2" s="142"/>
      <c r="J2" s="65" t="s">
        <v>10</v>
      </c>
      <c r="K2" s="66" t="s">
        <v>11</v>
      </c>
      <c r="L2" s="66" t="s">
        <v>12</v>
      </c>
      <c r="M2" s="66" t="s">
        <v>13</v>
      </c>
      <c r="N2" s="66" t="s">
        <v>14</v>
      </c>
      <c r="O2" s="67" t="s">
        <v>15</v>
      </c>
    </row>
    <row r="3" spans="1:15" ht="20.25">
      <c r="A3" s="142"/>
      <c r="B3" s="25" t="s">
        <v>56</v>
      </c>
      <c r="C3" s="25">
        <v>98</v>
      </c>
      <c r="D3" s="25">
        <v>105</v>
      </c>
      <c r="E3" s="26">
        <v>112</v>
      </c>
      <c r="H3" s="142"/>
      <c r="J3" s="68" t="s">
        <v>16</v>
      </c>
      <c r="K3" s="64" t="s">
        <v>17</v>
      </c>
      <c r="L3" s="64" t="s">
        <v>18</v>
      </c>
      <c r="M3" s="64" t="s">
        <v>19</v>
      </c>
      <c r="N3" s="64" t="s">
        <v>20</v>
      </c>
      <c r="O3" s="69" t="s">
        <v>21</v>
      </c>
    </row>
    <row r="4" spans="1:15" ht="20.25">
      <c r="A4" s="142"/>
      <c r="B4" s="20"/>
      <c r="C4" s="20"/>
      <c r="D4" s="20"/>
      <c r="E4" s="20"/>
      <c r="H4" s="142"/>
      <c r="J4" s="68" t="s">
        <v>22</v>
      </c>
      <c r="K4" s="64" t="s">
        <v>23</v>
      </c>
      <c r="L4" s="64" t="s">
        <v>24</v>
      </c>
      <c r="M4" s="64" t="s">
        <v>25</v>
      </c>
      <c r="N4" s="64" t="s">
        <v>26</v>
      </c>
      <c r="O4" s="69" t="s">
        <v>27</v>
      </c>
    </row>
    <row r="5" spans="1:15" ht="20.25">
      <c r="A5" s="142"/>
      <c r="B5" s="20"/>
      <c r="C5" s="20"/>
      <c r="D5" s="20"/>
      <c r="E5" s="20"/>
      <c r="H5" s="142"/>
      <c r="J5" s="68" t="s">
        <v>28</v>
      </c>
      <c r="K5" s="64" t="s">
        <v>24</v>
      </c>
      <c r="L5" s="64" t="s">
        <v>29</v>
      </c>
      <c r="M5" s="64" t="s">
        <v>30</v>
      </c>
      <c r="N5" s="64" t="s">
        <v>31</v>
      </c>
      <c r="O5" s="69" t="s">
        <v>32</v>
      </c>
    </row>
    <row r="6" spans="1:15" ht="20.25">
      <c r="A6" s="142"/>
      <c r="B6" s="20"/>
      <c r="C6" s="30" t="s">
        <v>46</v>
      </c>
      <c r="D6" s="31" t="s">
        <v>6</v>
      </c>
      <c r="E6" s="20"/>
      <c r="H6" s="142"/>
      <c r="J6" s="70" t="s">
        <v>33</v>
      </c>
      <c r="K6" s="71" t="s">
        <v>18</v>
      </c>
      <c r="L6" s="71" t="s">
        <v>34</v>
      </c>
      <c r="M6" s="71" t="s">
        <v>35</v>
      </c>
      <c r="N6" s="71" t="s">
        <v>36</v>
      </c>
      <c r="O6" s="72" t="s">
        <v>37</v>
      </c>
    </row>
    <row r="7" spans="1:15">
      <c r="A7" s="142"/>
      <c r="B7" s="20"/>
      <c r="C7" s="32" t="s">
        <v>55</v>
      </c>
      <c r="D7" s="28" t="s">
        <v>56</v>
      </c>
      <c r="E7" s="20"/>
      <c r="H7" s="142"/>
      <c r="J7" s="144" t="s">
        <v>60</v>
      </c>
      <c r="K7" s="144"/>
      <c r="L7" s="144"/>
    </row>
    <row r="8" spans="1:15">
      <c r="A8" s="142"/>
      <c r="B8" s="20"/>
      <c r="C8" s="27">
        <v>38356</v>
      </c>
      <c r="D8" s="84">
        <f>_xlfn.XLOOKUP(C8,C2:E2,C3:E3,"NA",-1)</f>
        <v>98</v>
      </c>
      <c r="F8" s="20" t="str">
        <f ca="1">_xlfn.FORMULATEXT(D8)</f>
        <v>=XLOOKUP(C8,C2:E2,C3:E3,"NA",-1)</v>
      </c>
      <c r="H8" s="142"/>
      <c r="J8" s="80" t="s">
        <v>46</v>
      </c>
      <c r="K8" s="81" t="s">
        <v>6</v>
      </c>
    </row>
    <row r="9" spans="1:15">
      <c r="A9" s="142"/>
      <c r="B9" s="20"/>
      <c r="C9" s="27">
        <v>38482</v>
      </c>
      <c r="D9" s="28">
        <f>_xlfn.XLOOKUP(C9,C2:E2,C3:E3,"NA",-1)</f>
        <v>105</v>
      </c>
      <c r="F9" s="20" t="str">
        <f ca="1">_xlfn.FORMULATEXT(D9)</f>
        <v>=XLOOKUP(C9,C2:E2,C3:E3,"NA",-1)</v>
      </c>
      <c r="H9" s="142"/>
      <c r="J9" s="45" t="s">
        <v>61</v>
      </c>
      <c r="K9" s="46" t="str">
        <f>_xlfn.XLOOKUP(J3, J3:J6,O3:O6,"NA",0,1)</f>
        <v>85​</v>
      </c>
      <c r="L9" t="str">
        <f ca="1">_xlfn.FORMULATEXT(K9)</f>
        <v>=XLOOKUP(J3, J3:J6,O3:O6,"NA",0,1)</v>
      </c>
    </row>
    <row r="10" spans="1:15">
      <c r="A10" s="142"/>
      <c r="B10" s="20"/>
      <c r="C10" s="27">
        <v>38605</v>
      </c>
      <c r="D10" s="28">
        <f>_xlfn.XLOOKUP(C10,C2:E2,C3:E3,"NA",-1)</f>
        <v>112</v>
      </c>
      <c r="F10" s="20" t="str">
        <f ca="1">_xlfn.FORMULATEXT(D10)</f>
        <v>=XLOOKUP(C10,C2:E2,C3:E3,"NA",-1)</v>
      </c>
      <c r="H10" s="142"/>
      <c r="J10" s="45" t="s">
        <v>62</v>
      </c>
      <c r="K10" s="46" t="str">
        <f>_xlfn.XLOOKUP(J4, J3:J6,O3:O6,"NA",0,1)</f>
        <v>81​</v>
      </c>
      <c r="L10" t="str">
        <f ca="1">_xlfn.FORMULATEXT(K10)</f>
        <v>=XLOOKUP(J4, J3:J6,O3:O6,"NA",0,1)</v>
      </c>
    </row>
    <row r="11" spans="1:15">
      <c r="A11" s="143"/>
      <c r="B11" s="20"/>
      <c r="C11" s="29">
        <v>38473</v>
      </c>
      <c r="D11" s="26">
        <f>_xlfn.XLOOKUP(C11,C2:E2,C3:E3,"NA",-1)</f>
        <v>105</v>
      </c>
      <c r="F11" s="20" t="str">
        <f ca="1">_xlfn.FORMULATEXT(D11)</f>
        <v>=XLOOKUP(C11,C2:E2,C3:E3,"NA",-1)</v>
      </c>
      <c r="H11" s="142"/>
      <c r="J11" s="45" t="s">
        <v>63</v>
      </c>
      <c r="K11" s="46" t="str">
        <f>_xlfn.XLOOKUP(J5, J3:J6,O3:O6,"NA",0,1)</f>
        <v>89​</v>
      </c>
      <c r="L11" t="str">
        <f ca="1">_xlfn.FORMULATEXT(K11)</f>
        <v>=XLOOKUP(J5, J3:J6,O3:O6,"NA",0,1)</v>
      </c>
    </row>
    <row r="12" spans="1:15">
      <c r="H12" s="142"/>
      <c r="J12" s="47" t="s">
        <v>64</v>
      </c>
      <c r="K12" s="48" t="str">
        <f>_xlfn.XLOOKUP(J6, J3:J6,O3:O6,"NA",0,1)</f>
        <v>93​</v>
      </c>
      <c r="L12" t="str">
        <f ca="1">_xlfn.FORMULATEXT(K12)</f>
        <v>=XLOOKUP(J6, J3:J6,O3:O6,"NA",0,1)</v>
      </c>
    </row>
    <row r="13" spans="1:15">
      <c r="H13" s="79"/>
      <c r="J13" s="145" t="s">
        <v>65</v>
      </c>
      <c r="K13" s="145"/>
      <c r="L13" s="145"/>
    </row>
    <row r="14" spans="1:15">
      <c r="J14" s="77" t="s">
        <v>46</v>
      </c>
      <c r="K14" s="78" t="s">
        <v>6</v>
      </c>
    </row>
    <row r="15" spans="1:15">
      <c r="C15" s="82" t="s">
        <v>66</v>
      </c>
      <c r="D15" s="83" cm="1">
        <f t="array" ref="D15:D18">_xlfn.XLOOKUP(C8:C11,C2:E2,C3:E3,,-1)</f>
        <v>98</v>
      </c>
      <c r="F15" t="str">
        <f ca="1">_xlfn.FORMULATEXT(D15)</f>
        <v>=XLOOKUP(C8:C11,C2:E2,C3:E3,,-1)</v>
      </c>
      <c r="J15" s="75" t="s">
        <v>67</v>
      </c>
      <c r="K15" s="76" t="s">
        <v>42</v>
      </c>
    </row>
    <row r="16" spans="1:15">
      <c r="C16" s="33"/>
      <c r="D16" s="34">
        <v>105</v>
      </c>
      <c r="J16" s="139" t="s">
        <v>68</v>
      </c>
      <c r="K16" s="34" t="str" cm="1">
        <f t="array" ref="K16:K19">_xlfn.XLOOKUP(J3:J6,J3:J6,O3:O6,"NA",0,1)</f>
        <v>85​</v>
      </c>
      <c r="L16" t="str">
        <f ca="1">_xlfn.FORMULATEXT(K16)</f>
        <v>=XLOOKUP(J3:J6,J3:J6,O3:O6,"NA",0,1)</v>
      </c>
    </row>
    <row r="17" spans="3:11">
      <c r="C17" s="33"/>
      <c r="D17" s="34">
        <v>112</v>
      </c>
      <c r="J17" s="139"/>
      <c r="K17" s="34" t="str">
        <v>81​</v>
      </c>
    </row>
    <row r="18" spans="3:11">
      <c r="C18" s="35"/>
      <c r="D18" s="36">
        <v>105</v>
      </c>
      <c r="J18" s="139"/>
      <c r="K18" s="34" t="str">
        <v>89​</v>
      </c>
    </row>
    <row r="19" spans="3:11">
      <c r="J19" s="140"/>
      <c r="K19" s="36" t="str">
        <v>93​</v>
      </c>
    </row>
  </sheetData>
  <mergeCells count="7">
    <mergeCell ref="B1:E1"/>
    <mergeCell ref="J1:O1"/>
    <mergeCell ref="J16:J19"/>
    <mergeCell ref="A1:A11"/>
    <mergeCell ref="H1:H12"/>
    <mergeCell ref="J7:L7"/>
    <mergeCell ref="J13:L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BC1F-E4EF-4288-BCC6-25D4B3EC186C}">
  <dimension ref="C3:J16"/>
  <sheetViews>
    <sheetView topLeftCell="D1" workbookViewId="0">
      <selection activeCell="E15" sqref="E15"/>
    </sheetView>
  </sheetViews>
  <sheetFormatPr defaultRowHeight="15"/>
  <cols>
    <col min="1" max="3" width="0" hidden="1" customWidth="1"/>
    <col min="5" max="5" width="11.140625" customWidth="1"/>
    <col min="6" max="6" width="34.85546875" customWidth="1"/>
    <col min="8" max="8" width="19.28515625" customWidth="1"/>
    <col min="9" max="9" width="12.85546875" customWidth="1"/>
    <col min="10" max="10" width="25.42578125" customWidth="1"/>
    <col min="11" max="11" width="15.28515625" customWidth="1"/>
  </cols>
  <sheetData>
    <row r="3" spans="3:10">
      <c r="C3" s="8" t="s">
        <v>43</v>
      </c>
      <c r="D3" s="9"/>
      <c r="E3" s="9"/>
      <c r="F3" s="9"/>
    </row>
    <row r="4" spans="3:10">
      <c r="C4" s="9"/>
      <c r="D4" s="9"/>
      <c r="E4" s="9"/>
      <c r="F4" s="9"/>
    </row>
    <row r="5" spans="3:10">
      <c r="C5" s="9"/>
      <c r="D5" s="11" t="s">
        <v>44</v>
      </c>
      <c r="E5" s="12" t="s">
        <v>45</v>
      </c>
      <c r="F5" s="9"/>
    </row>
    <row r="6" spans="3:10">
      <c r="C6" s="9"/>
      <c r="D6" s="13">
        <v>0</v>
      </c>
      <c r="E6" s="18">
        <v>0.15</v>
      </c>
      <c r="F6" s="9"/>
    </row>
    <row r="7" spans="3:10">
      <c r="C7" s="9"/>
      <c r="D7" s="13">
        <v>10000</v>
      </c>
      <c r="E7" s="18">
        <v>0.3</v>
      </c>
      <c r="F7" s="9"/>
    </row>
    <row r="8" spans="3:10">
      <c r="C8" s="9"/>
      <c r="D8" s="13">
        <v>30000</v>
      </c>
      <c r="E8" s="18">
        <v>0.34</v>
      </c>
      <c r="F8" s="9"/>
    </row>
    <row r="9" spans="3:10">
      <c r="C9" s="9"/>
      <c r="D9" s="15">
        <v>100000</v>
      </c>
      <c r="E9" s="19">
        <v>0.4</v>
      </c>
      <c r="F9" s="9"/>
    </row>
    <row r="10" spans="3:10">
      <c r="C10" s="9"/>
      <c r="D10" s="9"/>
      <c r="E10" s="9"/>
      <c r="F10" s="9"/>
    </row>
    <row r="11" spans="3:10">
      <c r="C11" s="9"/>
      <c r="D11" s="88" t="s">
        <v>46</v>
      </c>
      <c r="E11" s="89" t="s">
        <v>6</v>
      </c>
      <c r="F11" s="9" t="s">
        <v>47</v>
      </c>
    </row>
    <row r="12" spans="3:10">
      <c r="C12" s="9"/>
      <c r="D12" s="11" t="s">
        <v>44</v>
      </c>
      <c r="E12" s="86" t="s">
        <v>48</v>
      </c>
      <c r="F12" s="12"/>
    </row>
    <row r="13" spans="3:10">
      <c r="C13" s="9"/>
      <c r="D13" s="13">
        <v>-1000</v>
      </c>
      <c r="E13" s="85" t="str">
        <f>_xlfn.XLOOKUP(D13, D6:D10, E6:E10,"NA",0)</f>
        <v>NA</v>
      </c>
      <c r="F13" s="85"/>
      <c r="H13" s="80" t="s">
        <v>69</v>
      </c>
      <c r="I13" s="91">
        <v>0</v>
      </c>
      <c r="J13" s="81" t="s">
        <v>70</v>
      </c>
    </row>
    <row r="14" spans="3:10">
      <c r="C14" s="9"/>
      <c r="D14" s="13">
        <v>-1000</v>
      </c>
      <c r="E14" s="85" t="str">
        <f>_xlfn.XLOOKUP(D14,D6:D9,E6:E9,"NA", -1)</f>
        <v>NA</v>
      </c>
      <c r="F14" s="14"/>
      <c r="H14" s="45" t="s">
        <v>69</v>
      </c>
      <c r="I14" s="90">
        <v>-1</v>
      </c>
      <c r="J14" s="46" t="s">
        <v>71</v>
      </c>
    </row>
    <row r="15" spans="3:10">
      <c r="C15" s="9"/>
      <c r="D15" s="15">
        <v>-1000</v>
      </c>
      <c r="E15" s="87">
        <f>_xlfn.XLOOKUP(D15,D6:D9,E6:E9,"NA",1)</f>
        <v>0.15</v>
      </c>
      <c r="F15" s="17"/>
      <c r="H15" s="47" t="s">
        <v>69</v>
      </c>
      <c r="I15" s="92">
        <v>1</v>
      </c>
      <c r="J15" s="48" t="s">
        <v>72</v>
      </c>
    </row>
    <row r="16" spans="3:10">
      <c r="C16" s="9"/>
      <c r="D16" s="9"/>
      <c r="E16" s="9"/>
      <c r="F1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7141-C5FB-45CC-AF80-2FBEB40AEF1E}">
  <dimension ref="A1:G9"/>
  <sheetViews>
    <sheetView workbookViewId="0">
      <selection sqref="A1:G9"/>
    </sheetView>
  </sheetViews>
  <sheetFormatPr defaultRowHeight="15"/>
  <cols>
    <col min="1" max="1" width="12.140625" bestFit="1" customWidth="1"/>
    <col min="2" max="2" width="12.5703125" customWidth="1"/>
    <col min="4" max="4" width="12.140625" bestFit="1" customWidth="1"/>
    <col min="7" max="7" width="21" bestFit="1" customWidth="1"/>
  </cols>
  <sheetData>
    <row r="1" spans="1:7">
      <c r="A1" s="97" t="s">
        <v>73</v>
      </c>
      <c r="B1" s="98" t="s">
        <v>74</v>
      </c>
      <c r="C1" s="20"/>
      <c r="D1" s="106" t="s">
        <v>1</v>
      </c>
      <c r="E1" s="107" t="s">
        <v>75</v>
      </c>
      <c r="F1" s="107" t="s">
        <v>76</v>
      </c>
      <c r="G1" s="98"/>
    </row>
    <row r="2" spans="1:7">
      <c r="A2" s="99">
        <v>0</v>
      </c>
      <c r="B2" s="100" t="s">
        <v>77</v>
      </c>
      <c r="C2" s="20"/>
      <c r="D2" s="99">
        <v>1234</v>
      </c>
      <c r="E2" s="96">
        <v>87</v>
      </c>
      <c r="F2" s="96" t="s">
        <v>78</v>
      </c>
      <c r="G2" s="103" t="s">
        <v>79</v>
      </c>
    </row>
    <row r="3" spans="1:7">
      <c r="A3" s="99">
        <v>30</v>
      </c>
      <c r="B3" s="100" t="s">
        <v>80</v>
      </c>
      <c r="C3" s="20"/>
      <c r="D3" s="99">
        <v>1235</v>
      </c>
      <c r="E3" s="96">
        <v>91</v>
      </c>
      <c r="F3" s="96" t="s">
        <v>81</v>
      </c>
      <c r="G3" s="103" t="s">
        <v>82</v>
      </c>
    </row>
    <row r="4" spans="1:7">
      <c r="A4" s="99">
        <v>40</v>
      </c>
      <c r="B4" s="100" t="s">
        <v>83</v>
      </c>
      <c r="C4" s="20"/>
      <c r="D4" s="99">
        <v>1236</v>
      </c>
      <c r="E4" s="96">
        <v>77</v>
      </c>
      <c r="F4" s="96" t="s">
        <v>84</v>
      </c>
      <c r="G4" s="103" t="s">
        <v>85</v>
      </c>
    </row>
    <row r="5" spans="1:7">
      <c r="A5" s="99">
        <v>50</v>
      </c>
      <c r="B5" s="100" t="s">
        <v>86</v>
      </c>
      <c r="C5" s="20"/>
      <c r="D5" s="99">
        <v>1237</v>
      </c>
      <c r="E5" s="96">
        <v>47</v>
      </c>
      <c r="F5" s="96" t="s">
        <v>83</v>
      </c>
      <c r="G5" s="103" t="s">
        <v>87</v>
      </c>
    </row>
    <row r="6" spans="1:7">
      <c r="A6" s="99">
        <v>60</v>
      </c>
      <c r="B6" s="100" t="s">
        <v>88</v>
      </c>
      <c r="C6" s="20"/>
      <c r="D6" s="99">
        <v>1238</v>
      </c>
      <c r="E6" s="96">
        <v>58</v>
      </c>
      <c r="F6" s="96" t="s">
        <v>86</v>
      </c>
      <c r="G6" s="103" t="s">
        <v>89</v>
      </c>
    </row>
    <row r="7" spans="1:7">
      <c r="A7" s="99">
        <v>70</v>
      </c>
      <c r="B7" s="100" t="s">
        <v>84</v>
      </c>
      <c r="C7" s="20"/>
      <c r="D7" s="99">
        <v>1239</v>
      </c>
      <c r="E7" s="96">
        <v>63</v>
      </c>
      <c r="F7" s="96" t="s">
        <v>88</v>
      </c>
      <c r="G7" s="103" t="s">
        <v>90</v>
      </c>
    </row>
    <row r="8" spans="1:7">
      <c r="A8" s="99">
        <v>80</v>
      </c>
      <c r="B8" s="100" t="s">
        <v>78</v>
      </c>
      <c r="C8" s="20"/>
      <c r="D8" s="101">
        <v>1240</v>
      </c>
      <c r="E8" s="104">
        <v>24</v>
      </c>
      <c r="F8" s="104" t="s">
        <v>77</v>
      </c>
      <c r="G8" s="105" t="s">
        <v>91</v>
      </c>
    </row>
    <row r="9" spans="1:7">
      <c r="A9" s="101">
        <v>90</v>
      </c>
      <c r="B9" s="102" t="s">
        <v>81</v>
      </c>
      <c r="C9" s="20"/>
      <c r="D9" s="20"/>
      <c r="E9" s="20"/>
      <c r="F9" s="20"/>
      <c r="G9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CBD0-E292-499E-8BEA-DAF74C459ED1}">
  <dimension ref="A1:J28"/>
  <sheetViews>
    <sheetView tabSelected="1" workbookViewId="0">
      <selection activeCell="J17" sqref="J17"/>
    </sheetView>
  </sheetViews>
  <sheetFormatPr defaultRowHeight="15"/>
  <cols>
    <col min="4" max="4" width="18.7109375" customWidth="1"/>
    <col min="5" max="5" width="27.28515625" customWidth="1"/>
  </cols>
  <sheetData>
    <row r="1" spans="1:10">
      <c r="A1" s="20"/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>
      <c r="A4" s="20"/>
      <c r="B4" s="20" t="s">
        <v>92</v>
      </c>
      <c r="C4" s="20">
        <f>INDEX(C10:J17, 1,4)</f>
        <v>1991</v>
      </c>
      <c r="D4" s="95" t="str">
        <f ca="1">_xlfn.FORMULATEXT(C4)</f>
        <v>=INDEX(C10:J17, 1,4)</v>
      </c>
      <c r="E4" s="20"/>
      <c r="F4" s="20" t="s">
        <v>93</v>
      </c>
      <c r="G4" s="20"/>
      <c r="H4" s="20"/>
      <c r="I4" s="20"/>
      <c r="J4" s="20"/>
    </row>
    <row r="5" spans="1:10">
      <c r="A5" s="20"/>
      <c r="B5" s="20" t="s">
        <v>94</v>
      </c>
      <c r="C5" s="20">
        <f>INDEX(C10:J17,8,6)</f>
        <v>3389</v>
      </c>
      <c r="D5" s="95" t="str">
        <f ca="1">_xlfn.FORMULATEXT(C5)</f>
        <v>=INDEX(C10:J17,8,6)</v>
      </c>
      <c r="E5" s="20"/>
      <c r="F5" s="20"/>
      <c r="G5" s="20"/>
      <c r="H5" s="20"/>
      <c r="I5" s="20"/>
      <c r="J5" s="20"/>
    </row>
    <row r="6" spans="1:10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>
      <c r="A9" s="20"/>
      <c r="B9" s="20"/>
      <c r="C9" s="20" t="s">
        <v>95</v>
      </c>
      <c r="D9" s="20" t="s">
        <v>96</v>
      </c>
      <c r="E9" s="20" t="s">
        <v>97</v>
      </c>
      <c r="F9" s="20" t="s">
        <v>98</v>
      </c>
      <c r="G9" s="20" t="s">
        <v>99</v>
      </c>
      <c r="H9" s="20" t="s">
        <v>100</v>
      </c>
      <c r="I9" s="20" t="s">
        <v>101</v>
      </c>
      <c r="J9" s="20" t="s">
        <v>102</v>
      </c>
    </row>
    <row r="10" spans="1:10">
      <c r="A10" s="20">
        <v>1</v>
      </c>
      <c r="B10" s="20" t="s">
        <v>95</v>
      </c>
      <c r="C10" s="20">
        <v>0</v>
      </c>
      <c r="D10" s="20">
        <v>983</v>
      </c>
      <c r="E10" s="20">
        <v>1815</v>
      </c>
      <c r="F10" s="93">
        <v>1991</v>
      </c>
      <c r="G10" s="20">
        <v>3036</v>
      </c>
      <c r="H10" s="20">
        <v>1539</v>
      </c>
      <c r="I10" s="20">
        <v>2664</v>
      </c>
      <c r="J10" s="20">
        <v>2612</v>
      </c>
    </row>
    <row r="11" spans="1:10">
      <c r="A11" s="20">
        <v>2</v>
      </c>
      <c r="B11" s="20" t="s">
        <v>96</v>
      </c>
      <c r="C11" s="20">
        <v>983</v>
      </c>
      <c r="D11" s="20">
        <v>0</v>
      </c>
      <c r="E11" s="20">
        <v>1205</v>
      </c>
      <c r="F11" s="20">
        <v>1050</v>
      </c>
      <c r="G11" s="20">
        <v>2112</v>
      </c>
      <c r="H11" s="20">
        <v>1390</v>
      </c>
      <c r="I11" s="20">
        <v>1729</v>
      </c>
      <c r="J11" s="20">
        <v>2052</v>
      </c>
    </row>
    <row r="12" spans="1:10">
      <c r="A12" s="20">
        <v>3</v>
      </c>
      <c r="B12" s="20" t="s">
        <v>97</v>
      </c>
      <c r="C12" s="20">
        <v>1815</v>
      </c>
      <c r="D12" s="20">
        <v>1205</v>
      </c>
      <c r="E12" s="20">
        <v>0</v>
      </c>
      <c r="F12" s="20">
        <v>801</v>
      </c>
      <c r="G12" s="20">
        <v>1425</v>
      </c>
      <c r="H12" s="20">
        <v>1332</v>
      </c>
      <c r="I12" s="20">
        <v>1027</v>
      </c>
      <c r="J12" s="20">
        <v>2404</v>
      </c>
    </row>
    <row r="13" spans="1:10">
      <c r="A13" s="20">
        <v>4</v>
      </c>
      <c r="B13" s="20" t="s">
        <v>98</v>
      </c>
      <c r="C13" s="20">
        <v>1991</v>
      </c>
      <c r="D13" s="20">
        <v>1050</v>
      </c>
      <c r="E13" s="20">
        <v>801</v>
      </c>
      <c r="F13" s="20">
        <v>0</v>
      </c>
      <c r="G13" s="20">
        <v>1174</v>
      </c>
      <c r="H13" s="20">
        <v>2100</v>
      </c>
      <c r="I13" s="20">
        <v>836</v>
      </c>
      <c r="J13" s="20">
        <v>1373</v>
      </c>
    </row>
    <row r="14" spans="1:10">
      <c r="A14" s="20">
        <v>5</v>
      </c>
      <c r="B14" s="20" t="s">
        <v>99</v>
      </c>
      <c r="C14" s="20">
        <v>3036</v>
      </c>
      <c r="D14" s="20">
        <v>2112</v>
      </c>
      <c r="E14" s="20">
        <v>1425</v>
      </c>
      <c r="F14" s="20">
        <v>1174</v>
      </c>
      <c r="G14" s="20">
        <v>0</v>
      </c>
      <c r="H14" s="20">
        <v>2757</v>
      </c>
      <c r="I14" s="20">
        <v>398</v>
      </c>
      <c r="J14" s="20">
        <v>1909</v>
      </c>
    </row>
    <row r="15" spans="1:10">
      <c r="A15" s="20">
        <v>6</v>
      </c>
      <c r="B15" s="20" t="s">
        <v>100</v>
      </c>
      <c r="C15" s="20">
        <v>1539</v>
      </c>
      <c r="D15" s="20">
        <v>1390</v>
      </c>
      <c r="E15" s="20">
        <v>1332</v>
      </c>
      <c r="F15" s="20">
        <v>2100</v>
      </c>
      <c r="G15" s="20">
        <v>2757</v>
      </c>
      <c r="H15" s="20">
        <v>0</v>
      </c>
      <c r="I15" s="20">
        <v>2359</v>
      </c>
      <c r="J15" s="20">
        <v>3389</v>
      </c>
    </row>
    <row r="16" spans="1:10">
      <c r="A16" s="20">
        <v>7</v>
      </c>
      <c r="B16" s="20" t="s">
        <v>101</v>
      </c>
      <c r="C16" s="20">
        <v>2664</v>
      </c>
      <c r="D16" s="20">
        <v>1729</v>
      </c>
      <c r="E16" s="20">
        <v>1027</v>
      </c>
      <c r="F16" s="20">
        <v>836</v>
      </c>
      <c r="G16" s="20">
        <v>398</v>
      </c>
      <c r="H16" s="20">
        <v>2359</v>
      </c>
      <c r="I16" s="20">
        <v>0</v>
      </c>
      <c r="J16" s="20">
        <v>1482</v>
      </c>
    </row>
    <row r="17" spans="1:10">
      <c r="A17" s="20">
        <v>8</v>
      </c>
      <c r="B17" s="20" t="s">
        <v>102</v>
      </c>
      <c r="C17" s="20">
        <v>2612</v>
      </c>
      <c r="D17" s="20">
        <v>2052</v>
      </c>
      <c r="E17" s="20">
        <v>2404</v>
      </c>
      <c r="F17" s="20">
        <v>1373</v>
      </c>
      <c r="G17" s="20">
        <v>1909</v>
      </c>
      <c r="H17" s="20">
        <v>3389</v>
      </c>
      <c r="I17" s="20">
        <v>1482</v>
      </c>
      <c r="J17" s="20">
        <v>0</v>
      </c>
    </row>
    <row r="18" spans="1:10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>
      <c r="A19" s="20"/>
      <c r="B19" s="20"/>
      <c r="C19" s="94" t="s">
        <v>103</v>
      </c>
      <c r="D19" s="20"/>
      <c r="E19" s="20"/>
      <c r="F19" s="20"/>
      <c r="G19" s="20"/>
      <c r="H19" s="20"/>
      <c r="I19" s="20"/>
      <c r="J19" s="20"/>
    </row>
    <row r="20" spans="1:10">
      <c r="A20" s="20"/>
      <c r="B20" s="20"/>
      <c r="C20" s="20" t="s">
        <v>104</v>
      </c>
      <c r="D20" s="20" t="s">
        <v>105</v>
      </c>
      <c r="E20" s="20"/>
      <c r="F20" s="20"/>
      <c r="G20" s="20"/>
      <c r="H20" s="20"/>
      <c r="I20" s="20"/>
      <c r="J20" s="20"/>
    </row>
    <row r="21" spans="1:10">
      <c r="A21" s="20"/>
      <c r="B21" s="20" t="s">
        <v>102</v>
      </c>
      <c r="C21" s="20">
        <v>8</v>
      </c>
      <c r="E21" s="20"/>
      <c r="F21" s="20"/>
      <c r="G21" s="20"/>
      <c r="H21" s="20"/>
      <c r="I21" s="20"/>
      <c r="J21" s="20"/>
    </row>
    <row r="22" spans="1:10">
      <c r="A22" s="20"/>
      <c r="B22" s="20" t="s">
        <v>101</v>
      </c>
      <c r="C22" s="20">
        <v>7</v>
      </c>
      <c r="D22" s="20" cm="1">
        <f t="array" ref="D22">INDEX(distance, C21, C22)</f>
        <v>1482</v>
      </c>
      <c r="E22" s="95" t="str">
        <f ca="1">_xlfn.FORMULATEXT(D22)</f>
        <v>=INDEX(distance, C21, C22)</v>
      </c>
      <c r="F22" s="20"/>
      <c r="G22" s="20"/>
      <c r="H22" s="20"/>
      <c r="I22" s="20"/>
      <c r="J22" s="20"/>
    </row>
    <row r="23" spans="1:10">
      <c r="A23" s="20"/>
      <c r="B23" s="20" t="s">
        <v>99</v>
      </c>
      <c r="C23" s="20">
        <v>5</v>
      </c>
      <c r="D23" s="20" cm="1">
        <f t="array" ref="D23">INDEX(distance, C22, C23)</f>
        <v>398</v>
      </c>
      <c r="E23" s="95" t="str">
        <f ca="1">_xlfn.FORMULATEXT(D23)</f>
        <v>=INDEX(distance, C22, C23)</v>
      </c>
      <c r="F23" s="20"/>
      <c r="G23" s="20"/>
      <c r="H23" s="20"/>
      <c r="I23" s="20"/>
      <c r="J23" s="20"/>
    </row>
    <row r="24" spans="1:10">
      <c r="A24" s="20"/>
      <c r="B24" s="20" t="s">
        <v>98</v>
      </c>
      <c r="C24" s="20">
        <v>4</v>
      </c>
      <c r="D24" s="20" cm="1">
        <f t="array" ref="D24">INDEX(distance, C23, C24)</f>
        <v>1174</v>
      </c>
      <c r="E24" s="95" t="str">
        <f ca="1">_xlfn.FORMULATEXT(D24)</f>
        <v>=INDEX(distance, C23, C24)</v>
      </c>
      <c r="F24" s="20"/>
      <c r="G24" s="20"/>
      <c r="H24" s="20"/>
      <c r="I24" s="20"/>
      <c r="J24" s="20"/>
    </row>
    <row r="25" spans="1:10">
      <c r="A25" s="20"/>
      <c r="B25" s="20" t="s">
        <v>97</v>
      </c>
      <c r="C25" s="20">
        <v>3</v>
      </c>
      <c r="D25" s="20" cm="1">
        <f t="array" ref="D25">INDEX(distance, C24, C25)</f>
        <v>801</v>
      </c>
      <c r="E25" s="95" t="str">
        <f ca="1">_xlfn.FORMULATEXT(D25)</f>
        <v>=INDEX(distance, C24, C25)</v>
      </c>
      <c r="F25" s="20"/>
      <c r="G25" s="20"/>
      <c r="H25" s="20"/>
      <c r="I25" s="20"/>
      <c r="J25" s="20"/>
    </row>
    <row r="26" spans="1:10">
      <c r="A26" s="20"/>
      <c r="B26" s="20" t="s">
        <v>96</v>
      </c>
      <c r="C26" s="20">
        <v>2</v>
      </c>
      <c r="D26" s="20" cm="1">
        <f t="array" ref="D26">INDEX(distance, C25, C26)</f>
        <v>1205</v>
      </c>
      <c r="E26" s="95" t="str">
        <f ca="1">_xlfn.FORMULATEXT(D26)</f>
        <v>=INDEX(distance, C25, C26)</v>
      </c>
      <c r="F26" s="20"/>
      <c r="G26" s="20"/>
      <c r="H26" s="20"/>
      <c r="I26" s="20"/>
      <c r="J26" s="20"/>
    </row>
    <row r="27" spans="1:10">
      <c r="A27" s="20"/>
      <c r="B27" s="20" t="s">
        <v>102</v>
      </c>
      <c r="C27" s="20">
        <v>8</v>
      </c>
      <c r="D27" s="20" cm="1">
        <f t="array" ref="D27">INDEX(distance, C26, C27)</f>
        <v>2052</v>
      </c>
      <c r="E27" s="95" t="str">
        <f ca="1">_xlfn.FORMULATEXT(D27)</f>
        <v>=INDEX(distance, C26, C27)</v>
      </c>
      <c r="F27" s="20"/>
      <c r="G27" s="20"/>
      <c r="H27" s="20"/>
      <c r="I27" s="20"/>
      <c r="J27" s="20"/>
    </row>
    <row r="28" spans="1:10">
      <c r="A28" s="20"/>
      <c r="B28" s="20"/>
      <c r="C28" s="20" t="s">
        <v>42</v>
      </c>
      <c r="D28" s="20">
        <f>SUM(D22:D27)</f>
        <v>7112</v>
      </c>
      <c r="E28" s="95" t="str">
        <f ca="1">_xlfn.FORMULATEXT(D28)</f>
        <v>=SUM(D22:D27)</v>
      </c>
      <c r="F28" s="20"/>
      <c r="G28" s="20"/>
      <c r="H28" s="20"/>
      <c r="I28" s="20"/>
      <c r="J28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8769-D9FA-4861-A3E2-71E782A93217}">
  <dimension ref="A1:G12"/>
  <sheetViews>
    <sheetView workbookViewId="0">
      <selection activeCell="A12" sqref="A12"/>
    </sheetView>
  </sheetViews>
  <sheetFormatPr defaultRowHeight="15"/>
  <cols>
    <col min="3" max="3" width="21.140625" bestFit="1" customWidth="1"/>
    <col min="4" max="4" width="21.7109375" bestFit="1" customWidth="1"/>
    <col min="5" max="5" width="23.42578125" bestFit="1" customWidth="1"/>
  </cols>
  <sheetData>
    <row r="1" spans="1:7">
      <c r="A1" s="20"/>
      <c r="B1" s="20"/>
      <c r="C1" s="20"/>
      <c r="D1" s="20"/>
      <c r="E1" s="20"/>
      <c r="F1" s="20"/>
      <c r="G1" s="20"/>
    </row>
    <row r="2" spans="1:7">
      <c r="A2" s="146" t="s">
        <v>46</v>
      </c>
      <c r="B2" s="147"/>
      <c r="C2" s="147"/>
      <c r="D2" s="147"/>
      <c r="E2" s="147"/>
      <c r="F2" s="147"/>
      <c r="G2" s="148"/>
    </row>
    <row r="3" spans="1:7" s="108" customFormat="1">
      <c r="A3" s="119"/>
      <c r="B3" s="116" t="s">
        <v>106</v>
      </c>
      <c r="C3" s="116" t="s">
        <v>107</v>
      </c>
      <c r="D3" s="116" t="s">
        <v>108</v>
      </c>
      <c r="E3" s="116" t="s">
        <v>109</v>
      </c>
      <c r="F3" s="116" t="s">
        <v>110</v>
      </c>
      <c r="G3" s="120" t="s">
        <v>111</v>
      </c>
    </row>
    <row r="4" spans="1:7">
      <c r="A4" s="109" t="s">
        <v>112</v>
      </c>
      <c r="B4" s="94">
        <v>831</v>
      </c>
      <c r="C4" s="94">
        <v>685</v>
      </c>
      <c r="D4" s="94">
        <v>550</v>
      </c>
      <c r="E4" s="94">
        <v>965</v>
      </c>
      <c r="F4" s="94">
        <v>842</v>
      </c>
      <c r="G4" s="110">
        <v>804</v>
      </c>
    </row>
    <row r="5" spans="1:7">
      <c r="A5" s="109" t="s">
        <v>113</v>
      </c>
      <c r="B5" s="94">
        <v>719</v>
      </c>
      <c r="C5" s="94">
        <v>504</v>
      </c>
      <c r="D5" s="94">
        <v>965</v>
      </c>
      <c r="E5" s="94">
        <v>816</v>
      </c>
      <c r="F5" s="94">
        <v>639</v>
      </c>
      <c r="G5" s="110">
        <v>814</v>
      </c>
    </row>
    <row r="6" spans="1:7">
      <c r="A6" s="109" t="s">
        <v>114</v>
      </c>
      <c r="B6" s="94">
        <v>916</v>
      </c>
      <c r="C6" s="94">
        <v>906</v>
      </c>
      <c r="D6" s="94">
        <v>851</v>
      </c>
      <c r="E6" s="94">
        <v>912</v>
      </c>
      <c r="F6" s="94">
        <v>964</v>
      </c>
      <c r="G6" s="110">
        <v>710</v>
      </c>
    </row>
    <row r="7" spans="1:7">
      <c r="A7" s="111" t="s">
        <v>115</v>
      </c>
      <c r="B7" s="112">
        <v>844</v>
      </c>
      <c r="C7" s="112">
        <v>509</v>
      </c>
      <c r="D7" s="112">
        <v>991</v>
      </c>
      <c r="E7" s="112">
        <v>851</v>
      </c>
      <c r="F7" s="112">
        <v>742</v>
      </c>
      <c r="G7" s="113">
        <v>817</v>
      </c>
    </row>
    <row r="8" spans="1:7">
      <c r="A8" s="20"/>
      <c r="B8" s="20"/>
      <c r="C8" s="20"/>
      <c r="D8" s="20"/>
      <c r="E8" s="20"/>
      <c r="F8" s="20"/>
      <c r="G8" s="20"/>
    </row>
    <row r="9" spans="1:7">
      <c r="A9" s="146" t="s">
        <v>116</v>
      </c>
      <c r="B9" s="147"/>
      <c r="C9" s="147"/>
      <c r="D9" s="147"/>
      <c r="E9" s="147"/>
      <c r="F9" s="147"/>
      <c r="G9" s="148"/>
    </row>
    <row r="10" spans="1:7" s="108" customFormat="1">
      <c r="A10" s="115" t="s">
        <v>117</v>
      </c>
      <c r="B10" s="116" t="s">
        <v>118</v>
      </c>
      <c r="C10" s="116" t="s">
        <v>119</v>
      </c>
      <c r="D10" s="116" t="s">
        <v>120</v>
      </c>
      <c r="E10" s="116" t="s">
        <v>121</v>
      </c>
      <c r="F10" s="117"/>
      <c r="G10" s="118"/>
    </row>
    <row r="11" spans="1:7">
      <c r="A11" s="121" t="s">
        <v>113</v>
      </c>
      <c r="B11" s="122" t="s">
        <v>109</v>
      </c>
      <c r="C11" s="122">
        <f>MATCH(A11,A4:A7,0)</f>
        <v>2</v>
      </c>
      <c r="D11" s="122">
        <f>MATCH(B11, B3:G3,0)</f>
        <v>4</v>
      </c>
      <c r="E11" s="122" cm="1">
        <f t="array" ref="E11">INDEX(B4:G7, C11, D11)</f>
        <v>816</v>
      </c>
      <c r="F11" s="122"/>
      <c r="G11" s="83"/>
    </row>
    <row r="12" spans="1:7">
      <c r="A12" s="114"/>
      <c r="B12" s="49"/>
      <c r="C12" s="123" t="str">
        <f ca="1">_xlfn.FORMULATEXT(C11)</f>
        <v>=MATCH(A11,A4:A7,0)</v>
      </c>
      <c r="D12" s="123" t="str">
        <f ca="1">_xlfn.FORMULATEXT(D11)</f>
        <v>=MATCH(B11, B3:G3,0)</v>
      </c>
      <c r="E12" s="123" t="str">
        <f ca="1">_xlfn.FORMULATEXT(E11)</f>
        <v>=INDEX(B4:G7, C11, D11)</v>
      </c>
      <c r="F12" s="50"/>
      <c r="G12" s="84"/>
    </row>
  </sheetData>
  <mergeCells count="2">
    <mergeCell ref="A2:G2"/>
    <mergeCell ref="A9:G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178D-6559-4A98-BBEE-454B2D39FCBC}">
  <dimension ref="A1:F413"/>
  <sheetViews>
    <sheetView workbookViewId="0">
      <selection activeCell="D9" sqref="D9"/>
    </sheetView>
  </sheetViews>
  <sheetFormatPr defaultRowHeight="15"/>
  <cols>
    <col min="2" max="2" width="20.5703125" bestFit="1" customWidth="1"/>
    <col min="3" max="3" width="14.85546875" customWidth="1"/>
    <col min="4" max="4" width="32.7109375" bestFit="1" customWidth="1"/>
    <col min="5" max="5" width="21.7109375" customWidth="1"/>
    <col min="6" max="6" width="34.85546875" bestFit="1" customWidth="1"/>
  </cols>
  <sheetData>
    <row r="1" spans="1:6">
      <c r="A1" s="20"/>
      <c r="B1" s="20"/>
      <c r="C1" s="20"/>
      <c r="D1" s="20"/>
      <c r="E1" s="20"/>
    </row>
    <row r="2" spans="1:6">
      <c r="A2" s="20"/>
      <c r="B2" s="20"/>
      <c r="C2" s="20"/>
      <c r="D2" s="20"/>
      <c r="E2" s="20"/>
    </row>
    <row r="3" spans="1:6">
      <c r="A3" s="20"/>
      <c r="B3" s="20"/>
      <c r="C3" s="20"/>
      <c r="D3" s="20"/>
      <c r="E3" s="20"/>
    </row>
    <row r="4" spans="1:6">
      <c r="A4" s="20"/>
      <c r="B4" s="97"/>
      <c r="C4" s="107" t="s">
        <v>122</v>
      </c>
      <c r="D4" s="107" t="s">
        <v>123</v>
      </c>
      <c r="E4" s="107" t="s">
        <v>124</v>
      </c>
      <c r="F4" s="130" t="s">
        <v>123</v>
      </c>
    </row>
    <row r="5" spans="1:6">
      <c r="A5" s="20"/>
      <c r="B5" s="131" t="s">
        <v>125</v>
      </c>
      <c r="C5" s="124">
        <f>MATCH(MAX(salaries), salaries, 0)</f>
        <v>345</v>
      </c>
      <c r="D5" s="126" t="str">
        <f ca="1">_xlfn.FORMULATEXT(C5)</f>
        <v>=MATCH(MAX(salaries), salaries, 0)</v>
      </c>
      <c r="E5" s="124">
        <f>MATCH(LARGE(salaries,5),salaries,0)</f>
        <v>232</v>
      </c>
      <c r="F5" s="127" t="str">
        <f ca="1">_xlfn.FORMULATEXT(E5)</f>
        <v>=MATCH(LARGE(salaries,5),salaries,0)</v>
      </c>
    </row>
    <row r="6" spans="1:6">
      <c r="A6" s="20"/>
      <c r="B6" s="131" t="s">
        <v>126</v>
      </c>
      <c r="C6" s="124">
        <f>MAX(salaries)</f>
        <v>22000000</v>
      </c>
      <c r="D6" s="126" t="str">
        <f ca="1">_xlfn.FORMULATEXT(C6)</f>
        <v>=MAX(salaries)</v>
      </c>
      <c r="E6" s="124">
        <f>LARGE(salaries,5)</f>
        <v>12600000</v>
      </c>
      <c r="F6" s="127" t="str">
        <f ca="1">_xlfn.FORMULATEXT(E6)</f>
        <v>=LARGE(salaries,5)</v>
      </c>
    </row>
    <row r="7" spans="1:6">
      <c r="A7" s="20"/>
      <c r="B7" s="125" t="s">
        <v>127</v>
      </c>
      <c r="C7" s="132" t="str">
        <f>VLOOKUP(C5, A13:B413,2,FALSE)</f>
        <v>Alex Rodriguez</v>
      </c>
      <c r="D7" s="128" t="str">
        <f ca="1">_xlfn.FORMULATEXT(C7)</f>
        <v>=VLOOKUP(C5, A13:B413,2,FALSE)</v>
      </c>
      <c r="E7" s="132" t="str">
        <f>VLOOKUP(E5,A13:B413, 2, 0)</f>
        <v>dl-Derek Jeter</v>
      </c>
      <c r="F7" s="129" t="str">
        <f ca="1">_xlfn.FORMULATEXT(E7)</f>
        <v>=VLOOKUP(E5,A13:B413, 2, 0)</v>
      </c>
    </row>
    <row r="8" spans="1:6">
      <c r="A8" s="20"/>
      <c r="B8" s="20"/>
    </row>
    <row r="9" spans="1:6">
      <c r="A9" s="20"/>
      <c r="D9" t="str">
        <f>VLOOKUP(MATCH(MAX(salaries), salaries, 0), A13:B413, 2, FALSE)</f>
        <v>Alex Rodriguez</v>
      </c>
    </row>
    <row r="10" spans="1:6">
      <c r="A10" s="20"/>
    </row>
    <row r="11" spans="1:6">
      <c r="A11" s="20"/>
      <c r="B11" s="20"/>
      <c r="C11" s="20"/>
      <c r="D11" s="20"/>
      <c r="E11" s="20"/>
    </row>
    <row r="12" spans="1:6">
      <c r="A12" s="20"/>
      <c r="B12" s="20" t="s">
        <v>127</v>
      </c>
      <c r="C12" s="20" t="s">
        <v>128</v>
      </c>
      <c r="D12" s="20"/>
      <c r="E12" s="20"/>
    </row>
    <row r="13" spans="1:6">
      <c r="A13" s="20">
        <v>1</v>
      </c>
      <c r="B13" s="20" t="s">
        <v>129</v>
      </c>
      <c r="C13" s="20">
        <v>13166667</v>
      </c>
      <c r="D13" s="20"/>
      <c r="E13" s="20"/>
    </row>
    <row r="14" spans="1:6">
      <c r="A14" s="20">
        <v>2</v>
      </c>
      <c r="B14" s="20" t="s">
        <v>130</v>
      </c>
      <c r="C14" s="20">
        <v>5683013</v>
      </c>
      <c r="D14" s="20"/>
      <c r="E14" s="20"/>
    </row>
    <row r="15" spans="1:6">
      <c r="A15" s="20">
        <v>3</v>
      </c>
      <c r="B15" s="20" t="s">
        <v>131</v>
      </c>
      <c r="C15" s="20">
        <v>4500000</v>
      </c>
      <c r="D15" s="20"/>
      <c r="E15" s="20"/>
    </row>
    <row r="16" spans="1:6">
      <c r="A16" s="20">
        <v>4</v>
      </c>
      <c r="B16" s="20" t="s">
        <v>132</v>
      </c>
      <c r="C16" s="20">
        <v>3450000</v>
      </c>
      <c r="D16" s="20"/>
      <c r="E16" s="20"/>
    </row>
    <row r="17" spans="1:5">
      <c r="A17" s="20">
        <v>5</v>
      </c>
      <c r="B17" s="20" t="s">
        <v>133</v>
      </c>
      <c r="C17" s="20">
        <v>3400000</v>
      </c>
      <c r="D17" s="20"/>
      <c r="E17" s="20"/>
    </row>
    <row r="18" spans="1:5">
      <c r="A18" s="20">
        <v>6</v>
      </c>
      <c r="B18" s="20" t="s">
        <v>134</v>
      </c>
      <c r="C18" s="20">
        <v>2500000</v>
      </c>
      <c r="D18" s="20"/>
      <c r="E18" s="20"/>
    </row>
    <row r="19" spans="1:5">
      <c r="A19" s="20">
        <v>7</v>
      </c>
      <c r="B19" s="20" t="s">
        <v>135</v>
      </c>
      <c r="C19" s="20">
        <v>2000000</v>
      </c>
      <c r="D19" s="20"/>
      <c r="E19" s="20"/>
    </row>
    <row r="20" spans="1:5">
      <c r="A20" s="20">
        <v>8</v>
      </c>
      <c r="B20" s="20" t="s">
        <v>136</v>
      </c>
      <c r="C20" s="20">
        <v>1500000</v>
      </c>
      <c r="D20" s="20"/>
      <c r="E20" s="20"/>
    </row>
    <row r="21" spans="1:5">
      <c r="A21" s="20">
        <v>9</v>
      </c>
      <c r="B21" s="20" t="s">
        <v>137</v>
      </c>
      <c r="C21" s="20">
        <v>1250000</v>
      </c>
      <c r="D21" s="20"/>
      <c r="E21" s="20"/>
    </row>
    <row r="22" spans="1:5">
      <c r="A22" s="20">
        <v>10</v>
      </c>
      <c r="B22" s="20" t="s">
        <v>138</v>
      </c>
      <c r="C22" s="20">
        <v>1150000</v>
      </c>
      <c r="D22" s="20"/>
      <c r="E22" s="20"/>
    </row>
    <row r="23" spans="1:5">
      <c r="A23" s="20">
        <v>11</v>
      </c>
      <c r="B23" s="20" t="s">
        <v>139</v>
      </c>
      <c r="C23" s="20">
        <v>1125000</v>
      </c>
      <c r="D23" s="20"/>
      <c r="E23" s="20"/>
    </row>
    <row r="24" spans="1:5">
      <c r="A24" s="20">
        <v>12</v>
      </c>
      <c r="B24" s="20" t="s">
        <v>140</v>
      </c>
      <c r="C24" s="20">
        <v>900000</v>
      </c>
      <c r="D24" s="20"/>
      <c r="E24" s="20"/>
    </row>
    <row r="25" spans="1:5">
      <c r="A25" s="20">
        <v>13</v>
      </c>
      <c r="B25" s="20" t="s">
        <v>141</v>
      </c>
      <c r="C25" s="20">
        <v>715000</v>
      </c>
      <c r="D25" s="20"/>
      <c r="E25" s="20"/>
    </row>
    <row r="26" spans="1:5">
      <c r="A26" s="20">
        <v>14</v>
      </c>
      <c r="B26" s="20" t="s">
        <v>142</v>
      </c>
      <c r="C26" s="20">
        <v>705000</v>
      </c>
      <c r="D26" s="20"/>
      <c r="E26" s="20"/>
    </row>
    <row r="27" spans="1:5">
      <c r="A27" s="20">
        <v>15</v>
      </c>
      <c r="B27" s="20" t="s">
        <v>143</v>
      </c>
      <c r="C27" s="20">
        <v>500000</v>
      </c>
      <c r="D27" s="20"/>
      <c r="E27" s="20"/>
    </row>
    <row r="28" spans="1:5">
      <c r="A28" s="20">
        <v>16</v>
      </c>
      <c r="B28" s="20" t="s">
        <v>144</v>
      </c>
      <c r="C28" s="20">
        <v>350000</v>
      </c>
      <c r="D28" s="20"/>
      <c r="E28" s="20"/>
    </row>
    <row r="29" spans="1:5">
      <c r="A29" s="20">
        <v>17</v>
      </c>
      <c r="B29" s="20" t="s">
        <v>145</v>
      </c>
      <c r="C29" s="20">
        <v>350000</v>
      </c>
      <c r="D29" s="20"/>
      <c r="E29" s="20"/>
    </row>
    <row r="30" spans="1:5">
      <c r="A30" s="20">
        <v>18</v>
      </c>
      <c r="B30" s="20" t="s">
        <v>146</v>
      </c>
      <c r="C30" s="20">
        <v>320000</v>
      </c>
      <c r="D30" s="20"/>
      <c r="E30" s="20"/>
    </row>
    <row r="31" spans="1:5">
      <c r="A31" s="20">
        <v>19</v>
      </c>
      <c r="B31" s="20" t="s">
        <v>147</v>
      </c>
      <c r="C31" s="20">
        <v>280000</v>
      </c>
      <c r="D31" s="20"/>
      <c r="E31" s="20"/>
    </row>
    <row r="32" spans="1:5">
      <c r="A32" s="20">
        <v>20</v>
      </c>
      <c r="B32" s="20" t="s">
        <v>148</v>
      </c>
      <c r="C32" s="20">
        <v>275000</v>
      </c>
      <c r="D32" s="20"/>
      <c r="E32" s="20"/>
    </row>
    <row r="33" spans="1:5">
      <c r="A33" s="20">
        <v>21</v>
      </c>
      <c r="B33" s="20" t="s">
        <v>149</v>
      </c>
      <c r="C33" s="20">
        <v>270000</v>
      </c>
      <c r="D33" s="20"/>
      <c r="E33" s="20"/>
    </row>
    <row r="34" spans="1:5">
      <c r="A34" s="20">
        <v>22</v>
      </c>
      <c r="B34" s="20" t="s">
        <v>150</v>
      </c>
      <c r="C34" s="20">
        <v>270000</v>
      </c>
      <c r="D34" s="20"/>
      <c r="E34" s="20"/>
    </row>
    <row r="35" spans="1:5">
      <c r="A35" s="20">
        <v>23</v>
      </c>
      <c r="B35" s="20" t="s">
        <v>151</v>
      </c>
      <c r="C35" s="20">
        <v>250000</v>
      </c>
      <c r="D35" s="20"/>
      <c r="E35" s="20"/>
    </row>
    <row r="36" spans="1:5">
      <c r="A36" s="20">
        <v>24</v>
      </c>
      <c r="B36" s="20" t="s">
        <v>152</v>
      </c>
      <c r="C36" s="20">
        <v>232000</v>
      </c>
      <c r="D36" s="20"/>
      <c r="E36" s="20"/>
    </row>
    <row r="37" spans="1:5">
      <c r="A37" s="20">
        <v>25</v>
      </c>
      <c r="B37" s="20" t="s">
        <v>153</v>
      </c>
      <c r="C37" s="20">
        <v>215000</v>
      </c>
      <c r="D37" s="20"/>
      <c r="E37" s="20"/>
    </row>
    <row r="38" spans="1:5">
      <c r="A38" s="20">
        <v>26</v>
      </c>
      <c r="B38" s="20" t="s">
        <v>154</v>
      </c>
      <c r="C38" s="20">
        <v>207500</v>
      </c>
      <c r="D38" s="20"/>
      <c r="E38" s="20"/>
    </row>
    <row r="39" spans="1:5">
      <c r="A39" s="20">
        <v>27</v>
      </c>
      <c r="B39" s="20" t="s">
        <v>155</v>
      </c>
      <c r="C39" s="20">
        <v>203500</v>
      </c>
      <c r="D39" s="20"/>
      <c r="E39" s="20"/>
    </row>
    <row r="40" spans="1:5">
      <c r="A40" s="20">
        <v>28</v>
      </c>
      <c r="B40" s="20" t="s">
        <v>156</v>
      </c>
      <c r="C40" s="20">
        <v>200500</v>
      </c>
      <c r="D40" s="20"/>
      <c r="E40" s="20"/>
    </row>
    <row r="41" spans="1:5">
      <c r="A41" s="20">
        <v>29</v>
      </c>
      <c r="B41" s="20" t="s">
        <v>157</v>
      </c>
      <c r="C41" s="20">
        <v>200000</v>
      </c>
      <c r="D41" s="20"/>
      <c r="E41" s="20"/>
    </row>
    <row r="42" spans="1:5">
      <c r="A42" s="20">
        <v>30</v>
      </c>
      <c r="B42" s="20" t="s">
        <v>158</v>
      </c>
      <c r="C42" s="20">
        <v>200000</v>
      </c>
      <c r="D42" s="20"/>
      <c r="E42" s="20"/>
    </row>
    <row r="43" spans="1:5">
      <c r="A43" s="20">
        <v>31</v>
      </c>
      <c r="B43" s="20" t="s">
        <v>159</v>
      </c>
      <c r="C43" s="20">
        <v>200000</v>
      </c>
      <c r="D43" s="20"/>
      <c r="E43" s="20"/>
    </row>
    <row r="44" spans="1:5">
      <c r="A44" s="20">
        <v>32</v>
      </c>
      <c r="B44" s="20" t="s">
        <v>160</v>
      </c>
      <c r="C44" s="20">
        <v>12049040</v>
      </c>
      <c r="D44" s="20"/>
      <c r="E44" s="20"/>
    </row>
    <row r="45" spans="1:5">
      <c r="A45" s="20">
        <v>33</v>
      </c>
      <c r="B45" s="20" t="s">
        <v>161</v>
      </c>
      <c r="C45" s="20">
        <v>6658731</v>
      </c>
      <c r="D45" s="20"/>
      <c r="E45" s="20"/>
    </row>
    <row r="46" spans="1:5">
      <c r="A46" s="20">
        <v>34</v>
      </c>
      <c r="B46" s="20" t="s">
        <v>162</v>
      </c>
      <c r="C46" s="20">
        <v>6536612</v>
      </c>
      <c r="D46" s="20"/>
      <c r="E46" s="20"/>
    </row>
    <row r="47" spans="1:5">
      <c r="A47" s="20">
        <v>35</v>
      </c>
      <c r="B47" s="20" t="s">
        <v>163</v>
      </c>
      <c r="C47" s="20">
        <v>6300921</v>
      </c>
      <c r="D47" s="20"/>
      <c r="E47" s="20"/>
    </row>
    <row r="48" spans="1:5">
      <c r="A48" s="20">
        <v>36</v>
      </c>
      <c r="B48" s="20" t="s">
        <v>164</v>
      </c>
      <c r="C48" s="20">
        <v>4311622</v>
      </c>
      <c r="D48" s="20"/>
      <c r="E48" s="20"/>
    </row>
    <row r="49" spans="1:5">
      <c r="A49" s="20">
        <v>37</v>
      </c>
      <c r="B49" s="20" t="s">
        <v>165</v>
      </c>
      <c r="C49" s="20">
        <v>4209324</v>
      </c>
      <c r="D49" s="20"/>
      <c r="E49" s="20"/>
    </row>
    <row r="50" spans="1:5">
      <c r="A50" s="20">
        <v>38</v>
      </c>
      <c r="B50" s="20" t="s">
        <v>166</v>
      </c>
      <c r="C50" s="20">
        <v>4123245</v>
      </c>
      <c r="D50" s="20"/>
      <c r="E50" s="20"/>
    </row>
    <row r="51" spans="1:5">
      <c r="A51" s="20">
        <v>39</v>
      </c>
      <c r="B51" s="20" t="s">
        <v>167</v>
      </c>
      <c r="C51" s="20">
        <v>3000000</v>
      </c>
      <c r="D51" s="20"/>
      <c r="E51" s="20"/>
    </row>
    <row r="52" spans="1:5">
      <c r="A52" s="20">
        <v>40</v>
      </c>
      <c r="B52" s="20" t="s">
        <v>168</v>
      </c>
      <c r="C52" s="20">
        <v>3000000</v>
      </c>
      <c r="D52" s="20"/>
      <c r="E52" s="20"/>
    </row>
    <row r="53" spans="1:5">
      <c r="A53" s="20">
        <v>41</v>
      </c>
      <c r="B53" s="20" t="s">
        <v>169</v>
      </c>
      <c r="C53" s="20">
        <v>2750000</v>
      </c>
      <c r="D53" s="20"/>
      <c r="E53" s="20"/>
    </row>
    <row r="54" spans="1:5">
      <c r="A54" s="20">
        <v>42</v>
      </c>
      <c r="B54" s="20" t="s">
        <v>170</v>
      </c>
      <c r="C54" s="20">
        <v>2333333</v>
      </c>
      <c r="D54" s="20"/>
      <c r="E54" s="20"/>
    </row>
    <row r="55" spans="1:5">
      <c r="A55" s="20">
        <v>43</v>
      </c>
      <c r="B55" s="20" t="s">
        <v>171</v>
      </c>
      <c r="C55" s="20">
        <v>2100000</v>
      </c>
      <c r="D55" s="20"/>
      <c r="E55" s="20"/>
    </row>
    <row r="56" spans="1:5">
      <c r="A56" s="20">
        <v>44</v>
      </c>
      <c r="B56" s="20" t="s">
        <v>172</v>
      </c>
      <c r="C56" s="20">
        <v>2000000</v>
      </c>
      <c r="D56" s="20"/>
      <c r="E56" s="20"/>
    </row>
    <row r="57" spans="1:5">
      <c r="A57" s="20">
        <v>45</v>
      </c>
      <c r="B57" s="20" t="s">
        <v>173</v>
      </c>
      <c r="C57" s="20">
        <v>1550000</v>
      </c>
      <c r="D57" s="20"/>
      <c r="E57" s="20"/>
    </row>
    <row r="58" spans="1:5">
      <c r="A58" s="20">
        <v>46</v>
      </c>
      <c r="B58" s="20" t="s">
        <v>174</v>
      </c>
      <c r="C58" s="20">
        <v>1225000</v>
      </c>
      <c r="D58" s="20"/>
      <c r="E58" s="20"/>
    </row>
    <row r="59" spans="1:5">
      <c r="A59" s="20">
        <v>47</v>
      </c>
      <c r="B59" s="20" t="s">
        <v>175</v>
      </c>
      <c r="C59" s="20">
        <v>1200000</v>
      </c>
      <c r="D59" s="20"/>
      <c r="E59" s="20"/>
    </row>
    <row r="60" spans="1:5">
      <c r="A60" s="20">
        <v>48</v>
      </c>
      <c r="B60" s="20" t="s">
        <v>176</v>
      </c>
      <c r="C60" s="20">
        <v>350000</v>
      </c>
      <c r="D60" s="20"/>
      <c r="E60" s="20"/>
    </row>
    <row r="61" spans="1:5">
      <c r="A61" s="20">
        <v>49</v>
      </c>
      <c r="B61" s="20" t="s">
        <v>177</v>
      </c>
      <c r="C61" s="20">
        <v>270000</v>
      </c>
      <c r="D61" s="20"/>
      <c r="E61" s="20"/>
    </row>
    <row r="62" spans="1:5">
      <c r="A62" s="20">
        <v>50</v>
      </c>
      <c r="B62" s="20" t="s">
        <v>178</v>
      </c>
      <c r="C62" s="20">
        <v>235000</v>
      </c>
      <c r="D62" s="20"/>
      <c r="E62" s="20"/>
    </row>
    <row r="63" spans="1:5">
      <c r="A63" s="20">
        <v>51</v>
      </c>
      <c r="B63" s="20" t="s">
        <v>179</v>
      </c>
      <c r="C63" s="20">
        <v>232500</v>
      </c>
      <c r="D63" s="20"/>
      <c r="E63" s="20"/>
    </row>
    <row r="64" spans="1:5">
      <c r="A64" s="20">
        <v>52</v>
      </c>
      <c r="B64" s="20" t="s">
        <v>180</v>
      </c>
      <c r="C64" s="20">
        <v>230000</v>
      </c>
      <c r="D64" s="20"/>
      <c r="E64" s="20"/>
    </row>
    <row r="65" spans="1:5">
      <c r="A65" s="20">
        <v>53</v>
      </c>
      <c r="B65" s="20" t="s">
        <v>181</v>
      </c>
      <c r="C65" s="20">
        <v>226000</v>
      </c>
      <c r="D65" s="20"/>
      <c r="E65" s="20"/>
    </row>
    <row r="66" spans="1:5">
      <c r="A66" s="20">
        <v>54</v>
      </c>
      <c r="B66" s="20" t="s">
        <v>182</v>
      </c>
      <c r="C66" s="20">
        <v>215000</v>
      </c>
      <c r="D66" s="20"/>
      <c r="E66" s="20"/>
    </row>
    <row r="67" spans="1:5">
      <c r="A67" s="20">
        <v>55</v>
      </c>
      <c r="B67" s="20" t="s">
        <v>183</v>
      </c>
      <c r="C67" s="20">
        <v>210000</v>
      </c>
      <c r="D67" s="20"/>
      <c r="E67" s="20"/>
    </row>
    <row r="68" spans="1:5">
      <c r="A68" s="20">
        <v>56</v>
      </c>
      <c r="B68" s="20" t="s">
        <v>184</v>
      </c>
      <c r="C68" s="20">
        <v>205000</v>
      </c>
      <c r="D68" s="20"/>
      <c r="E68" s="20"/>
    </row>
    <row r="69" spans="1:5">
      <c r="A69" s="20">
        <v>57</v>
      </c>
      <c r="B69" s="20" t="s">
        <v>185</v>
      </c>
      <c r="C69" s="20">
        <v>205000</v>
      </c>
      <c r="D69" s="20"/>
      <c r="E69" s="20"/>
    </row>
    <row r="70" spans="1:5">
      <c r="A70" s="20">
        <v>58</v>
      </c>
      <c r="B70" s="20" t="s">
        <v>186</v>
      </c>
      <c r="C70" s="20">
        <v>200000</v>
      </c>
      <c r="D70" s="20"/>
      <c r="E70" s="20"/>
    </row>
    <row r="71" spans="1:5">
      <c r="A71" s="20">
        <v>59</v>
      </c>
      <c r="B71" s="20" t="s">
        <v>187</v>
      </c>
      <c r="C71" s="20">
        <v>200000</v>
      </c>
      <c r="D71" s="20"/>
      <c r="E71" s="20"/>
    </row>
    <row r="72" spans="1:5">
      <c r="A72" s="20">
        <v>60</v>
      </c>
      <c r="B72" s="20" t="s">
        <v>188</v>
      </c>
      <c r="C72" s="20">
        <v>13033075</v>
      </c>
      <c r="D72" s="20"/>
      <c r="E72" s="20"/>
    </row>
    <row r="73" spans="1:5">
      <c r="A73" s="20">
        <v>61</v>
      </c>
      <c r="B73" s="20" t="s">
        <v>189</v>
      </c>
      <c r="C73" s="20">
        <v>13000000</v>
      </c>
      <c r="D73" s="20"/>
      <c r="E73" s="20"/>
    </row>
    <row r="74" spans="1:5">
      <c r="A74" s="20">
        <v>62</v>
      </c>
      <c r="B74" s="20" t="s">
        <v>190</v>
      </c>
      <c r="C74" s="20">
        <v>7333333</v>
      </c>
      <c r="D74" s="20"/>
      <c r="E74" s="20"/>
    </row>
    <row r="75" spans="1:5">
      <c r="A75" s="20">
        <v>63</v>
      </c>
      <c r="B75" s="20" t="s">
        <v>191</v>
      </c>
      <c r="C75" s="20">
        <v>7250000</v>
      </c>
      <c r="D75" s="20"/>
      <c r="E75" s="20"/>
    </row>
    <row r="76" spans="1:5">
      <c r="A76" s="20">
        <v>64</v>
      </c>
      <c r="B76" s="20" t="s">
        <v>192</v>
      </c>
      <c r="C76" s="20">
        <v>7000000</v>
      </c>
      <c r="D76" s="20"/>
      <c r="E76" s="20"/>
    </row>
    <row r="77" spans="1:5">
      <c r="A77" s="20">
        <v>65</v>
      </c>
      <c r="B77" s="20" t="s">
        <v>193</v>
      </c>
      <c r="C77" s="20">
        <v>6750000</v>
      </c>
      <c r="D77" s="20"/>
      <c r="E77" s="20"/>
    </row>
    <row r="78" spans="1:5">
      <c r="A78" s="20">
        <v>66</v>
      </c>
      <c r="B78" s="20" t="s">
        <v>194</v>
      </c>
      <c r="C78" s="20">
        <v>6350000</v>
      </c>
      <c r="D78" s="20"/>
      <c r="E78" s="20"/>
    </row>
    <row r="79" spans="1:5">
      <c r="A79" s="20">
        <v>67</v>
      </c>
      <c r="B79" s="20" t="s">
        <v>195</v>
      </c>
      <c r="C79" s="20">
        <v>6250000</v>
      </c>
      <c r="D79" s="20"/>
      <c r="E79" s="20"/>
    </row>
    <row r="80" spans="1:5">
      <c r="A80" s="20">
        <v>68</v>
      </c>
      <c r="B80" s="20" t="s">
        <v>196</v>
      </c>
      <c r="C80" s="20">
        <v>4600000</v>
      </c>
      <c r="D80" s="20"/>
      <c r="E80" s="20"/>
    </row>
    <row r="81" spans="1:5">
      <c r="A81" s="20">
        <v>69</v>
      </c>
      <c r="B81" s="20" t="s">
        <v>197</v>
      </c>
      <c r="C81" s="20">
        <v>4500000</v>
      </c>
      <c r="D81" s="20"/>
      <c r="E81" s="20"/>
    </row>
    <row r="82" spans="1:5">
      <c r="A82" s="20">
        <v>70</v>
      </c>
      <c r="B82" s="20" t="s">
        <v>198</v>
      </c>
      <c r="C82" s="20">
        <v>4500000</v>
      </c>
      <c r="D82" s="20"/>
      <c r="E82" s="20"/>
    </row>
    <row r="83" spans="1:5">
      <c r="A83" s="20">
        <v>71</v>
      </c>
      <c r="B83" s="20" t="s">
        <v>199</v>
      </c>
      <c r="C83" s="20">
        <v>4500000</v>
      </c>
      <c r="D83" s="20"/>
      <c r="E83" s="20"/>
    </row>
    <row r="84" spans="1:5">
      <c r="A84" s="20">
        <v>72</v>
      </c>
      <c r="B84" s="20" t="s">
        <v>200</v>
      </c>
      <c r="C84" s="20">
        <v>3000000</v>
      </c>
      <c r="D84" s="20"/>
      <c r="E84" s="20"/>
    </row>
    <row r="85" spans="1:5">
      <c r="A85" s="20">
        <v>73</v>
      </c>
      <c r="B85" s="20" t="s">
        <v>201</v>
      </c>
      <c r="C85" s="20">
        <v>2500000</v>
      </c>
      <c r="D85" s="20"/>
      <c r="E85" s="20"/>
    </row>
    <row r="86" spans="1:5">
      <c r="A86" s="20">
        <v>74</v>
      </c>
      <c r="B86" s="20" t="s">
        <v>202</v>
      </c>
      <c r="C86" s="20">
        <v>2250000</v>
      </c>
      <c r="D86" s="20"/>
      <c r="E86" s="20"/>
    </row>
    <row r="87" spans="1:5">
      <c r="A87" s="20">
        <v>75</v>
      </c>
      <c r="B87" s="20" t="s">
        <v>203</v>
      </c>
      <c r="C87" s="20">
        <v>2125000</v>
      </c>
      <c r="D87" s="20"/>
      <c r="E87" s="20"/>
    </row>
    <row r="88" spans="1:5">
      <c r="A88" s="20">
        <v>76</v>
      </c>
      <c r="B88" s="20" t="s">
        <v>204</v>
      </c>
      <c r="C88" s="20">
        <v>1800000</v>
      </c>
      <c r="D88" s="20"/>
      <c r="E88" s="20"/>
    </row>
    <row r="89" spans="1:5">
      <c r="A89" s="20">
        <v>77</v>
      </c>
      <c r="B89" s="20" t="s">
        <v>205</v>
      </c>
      <c r="C89" s="20">
        <v>1680000</v>
      </c>
      <c r="D89" s="20"/>
      <c r="E89" s="20"/>
    </row>
    <row r="90" spans="1:5">
      <c r="A90" s="20">
        <v>78</v>
      </c>
      <c r="B90" s="20" t="s">
        <v>206</v>
      </c>
      <c r="C90" s="20">
        <v>1625000</v>
      </c>
      <c r="D90" s="20"/>
      <c r="E90" s="20"/>
    </row>
    <row r="91" spans="1:5">
      <c r="A91" s="20">
        <v>79</v>
      </c>
      <c r="B91" s="20" t="s">
        <v>207</v>
      </c>
      <c r="C91" s="20">
        <v>1450000</v>
      </c>
      <c r="D91" s="20"/>
      <c r="E91" s="20"/>
    </row>
    <row r="92" spans="1:5">
      <c r="A92" s="20">
        <v>80</v>
      </c>
      <c r="B92" s="20" t="s">
        <v>208</v>
      </c>
      <c r="C92" s="20">
        <v>1375000</v>
      </c>
      <c r="D92" s="20"/>
      <c r="E92" s="20"/>
    </row>
    <row r="93" spans="1:5">
      <c r="A93" s="20">
        <v>81</v>
      </c>
      <c r="B93" s="20" t="s">
        <v>209</v>
      </c>
      <c r="C93" s="20">
        <v>1300000</v>
      </c>
      <c r="D93" s="20"/>
      <c r="E93" s="20"/>
    </row>
    <row r="94" spans="1:5">
      <c r="A94" s="20">
        <v>82</v>
      </c>
      <c r="B94" s="20" t="s">
        <v>210</v>
      </c>
      <c r="C94" s="20">
        <v>1050000</v>
      </c>
      <c r="D94" s="20"/>
      <c r="E94" s="20"/>
    </row>
    <row r="95" spans="1:5">
      <c r="A95" s="20">
        <v>83</v>
      </c>
      <c r="B95" s="20" t="s">
        <v>211</v>
      </c>
      <c r="C95" s="20">
        <v>1000000</v>
      </c>
      <c r="D95" s="20"/>
      <c r="E95" s="20"/>
    </row>
    <row r="96" spans="1:5">
      <c r="A96" s="20">
        <v>84</v>
      </c>
      <c r="B96" s="20" t="s">
        <v>212</v>
      </c>
      <c r="C96" s="20">
        <v>1000000</v>
      </c>
      <c r="D96" s="20"/>
      <c r="E96" s="20"/>
    </row>
    <row r="97" spans="1:5">
      <c r="A97" s="20">
        <v>85</v>
      </c>
      <c r="B97" s="20" t="s">
        <v>213</v>
      </c>
      <c r="C97" s="20">
        <v>700000</v>
      </c>
      <c r="D97" s="20"/>
      <c r="E97" s="20"/>
    </row>
    <row r="98" spans="1:5">
      <c r="A98" s="20">
        <v>86</v>
      </c>
      <c r="B98" s="20" t="s">
        <v>214</v>
      </c>
      <c r="C98" s="20">
        <v>400000</v>
      </c>
      <c r="D98" s="20"/>
      <c r="E98" s="20"/>
    </row>
    <row r="99" spans="1:5">
      <c r="A99" s="20">
        <v>87</v>
      </c>
      <c r="B99" s="20" t="s">
        <v>215</v>
      </c>
      <c r="C99" s="20">
        <v>390000</v>
      </c>
      <c r="D99" s="20"/>
      <c r="E99" s="20"/>
    </row>
    <row r="100" spans="1:5">
      <c r="A100" s="20">
        <v>88</v>
      </c>
      <c r="B100" s="20" t="s">
        <v>216</v>
      </c>
      <c r="C100" s="20">
        <v>225000</v>
      </c>
      <c r="D100" s="20"/>
      <c r="E100" s="20"/>
    </row>
    <row r="101" spans="1:5">
      <c r="A101" s="20">
        <v>89</v>
      </c>
      <c r="B101" s="20" t="s">
        <v>217</v>
      </c>
      <c r="C101" s="20">
        <v>222500</v>
      </c>
      <c r="D101" s="20"/>
      <c r="E101" s="20"/>
    </row>
    <row r="102" spans="1:5">
      <c r="A102" s="20">
        <v>90</v>
      </c>
      <c r="B102" s="20" t="s">
        <v>218</v>
      </c>
      <c r="C102" s="20">
        <v>200000</v>
      </c>
      <c r="D102" s="20"/>
      <c r="E102" s="20"/>
    </row>
    <row r="103" spans="1:5">
      <c r="A103" s="20">
        <v>91</v>
      </c>
      <c r="B103" s="20" t="s">
        <v>219</v>
      </c>
      <c r="C103" s="20">
        <v>200000</v>
      </c>
      <c r="D103" s="20"/>
      <c r="E103" s="20"/>
    </row>
    <row r="104" spans="1:5">
      <c r="A104" s="20">
        <v>92</v>
      </c>
      <c r="B104" s="20" t="s">
        <v>220</v>
      </c>
      <c r="C104" s="20">
        <v>9927000</v>
      </c>
      <c r="D104" s="20"/>
      <c r="E104" s="20"/>
    </row>
    <row r="105" spans="1:5">
      <c r="A105" s="20">
        <v>93</v>
      </c>
      <c r="B105" s="20" t="s">
        <v>221</v>
      </c>
      <c r="C105" s="20">
        <v>9250000</v>
      </c>
      <c r="D105" s="20"/>
      <c r="E105" s="20"/>
    </row>
    <row r="106" spans="1:5">
      <c r="A106" s="20">
        <v>94</v>
      </c>
      <c r="B106" s="20" t="s">
        <v>222</v>
      </c>
      <c r="C106" s="20">
        <v>5950000</v>
      </c>
      <c r="D106" s="20"/>
      <c r="E106" s="20"/>
    </row>
    <row r="107" spans="1:5">
      <c r="A107" s="20">
        <v>95</v>
      </c>
      <c r="B107" s="20" t="s">
        <v>223</v>
      </c>
      <c r="C107" s="20">
        <v>5900000</v>
      </c>
      <c r="D107" s="20"/>
      <c r="E107" s="20"/>
    </row>
    <row r="108" spans="1:5">
      <c r="A108" s="20">
        <v>96</v>
      </c>
      <c r="B108" s="20" t="s">
        <v>224</v>
      </c>
      <c r="C108" s="20">
        <v>5000000</v>
      </c>
      <c r="D108" s="20"/>
      <c r="E108" s="20"/>
    </row>
    <row r="109" spans="1:5">
      <c r="A109" s="20">
        <v>97</v>
      </c>
      <c r="B109" s="20" t="s">
        <v>225</v>
      </c>
      <c r="C109" s="20">
        <v>4500000</v>
      </c>
      <c r="D109" s="20"/>
      <c r="E109" s="20"/>
    </row>
    <row r="110" spans="1:5">
      <c r="A110" s="20">
        <v>98</v>
      </c>
      <c r="B110" s="20" t="s">
        <v>226</v>
      </c>
      <c r="C110" s="20">
        <v>3750000</v>
      </c>
      <c r="D110" s="20"/>
      <c r="E110" s="20"/>
    </row>
    <row r="111" spans="1:5">
      <c r="A111" s="20">
        <v>99</v>
      </c>
      <c r="B111" s="20" t="s">
        <v>227</v>
      </c>
      <c r="C111" s="20">
        <v>3100000</v>
      </c>
      <c r="D111" s="20"/>
      <c r="E111" s="20"/>
    </row>
    <row r="112" spans="1:5">
      <c r="A112" s="20">
        <v>100</v>
      </c>
      <c r="B112" s="20" t="s">
        <v>228</v>
      </c>
      <c r="C112" s="20">
        <v>2300000</v>
      </c>
      <c r="D112" s="20"/>
      <c r="E112" s="20"/>
    </row>
    <row r="113" spans="1:5">
      <c r="A113" s="20">
        <v>101</v>
      </c>
      <c r="B113" s="20" t="s">
        <v>229</v>
      </c>
      <c r="C113" s="20">
        <v>1925000</v>
      </c>
      <c r="D113" s="20"/>
      <c r="E113" s="20"/>
    </row>
    <row r="114" spans="1:5">
      <c r="A114" s="20">
        <v>102</v>
      </c>
      <c r="B114" s="20" t="s">
        <v>230</v>
      </c>
      <c r="C114" s="20">
        <v>1500000</v>
      </c>
      <c r="D114" s="20"/>
      <c r="E114" s="20"/>
    </row>
    <row r="115" spans="1:5">
      <c r="A115" s="20">
        <v>103</v>
      </c>
      <c r="B115" s="20" t="s">
        <v>231</v>
      </c>
      <c r="C115" s="20">
        <v>1000000</v>
      </c>
      <c r="D115" s="20"/>
      <c r="E115" s="20"/>
    </row>
    <row r="116" spans="1:5">
      <c r="A116" s="20">
        <v>104</v>
      </c>
      <c r="B116" s="20" t="s">
        <v>232</v>
      </c>
      <c r="C116" s="20">
        <v>975000</v>
      </c>
      <c r="D116" s="20"/>
      <c r="E116" s="20"/>
    </row>
    <row r="117" spans="1:5">
      <c r="A117" s="20">
        <v>105</v>
      </c>
      <c r="B117" s="20" t="s">
        <v>233</v>
      </c>
      <c r="C117" s="20">
        <v>750000</v>
      </c>
      <c r="D117" s="20"/>
      <c r="E117" s="20"/>
    </row>
    <row r="118" spans="1:5">
      <c r="A118" s="20">
        <v>106</v>
      </c>
      <c r="B118" s="20" t="s">
        <v>234</v>
      </c>
      <c r="C118" s="20">
        <v>550000</v>
      </c>
      <c r="D118" s="20"/>
      <c r="E118" s="20"/>
    </row>
    <row r="119" spans="1:5">
      <c r="A119" s="20">
        <v>107</v>
      </c>
      <c r="B119" s="20" t="s">
        <v>235</v>
      </c>
      <c r="C119" s="20">
        <v>400000</v>
      </c>
      <c r="D119" s="20"/>
      <c r="E119" s="20"/>
    </row>
    <row r="120" spans="1:5">
      <c r="A120" s="20">
        <v>108</v>
      </c>
      <c r="B120" s="20" t="s">
        <v>236</v>
      </c>
      <c r="C120" s="20">
        <v>375000</v>
      </c>
      <c r="D120" s="20"/>
      <c r="E120" s="20"/>
    </row>
    <row r="121" spans="1:5">
      <c r="A121" s="20">
        <v>109</v>
      </c>
      <c r="B121" s="20" t="s">
        <v>237</v>
      </c>
      <c r="C121" s="20">
        <v>375000</v>
      </c>
      <c r="D121" s="20"/>
      <c r="E121" s="20"/>
    </row>
    <row r="122" spans="1:5">
      <c r="A122" s="20">
        <v>110</v>
      </c>
      <c r="B122" s="20" t="s">
        <v>238</v>
      </c>
      <c r="C122" s="20">
        <v>315000</v>
      </c>
      <c r="D122" s="20"/>
      <c r="E122" s="20"/>
    </row>
    <row r="123" spans="1:5">
      <c r="A123" s="20">
        <v>111</v>
      </c>
      <c r="B123" s="20" t="s">
        <v>239</v>
      </c>
      <c r="C123" s="20">
        <v>300000</v>
      </c>
      <c r="D123" s="20"/>
      <c r="E123" s="20"/>
    </row>
    <row r="124" spans="1:5">
      <c r="A124" s="20">
        <v>112</v>
      </c>
      <c r="B124" s="20" t="s">
        <v>240</v>
      </c>
      <c r="C124" s="20">
        <v>260000</v>
      </c>
      <c r="D124" s="20"/>
      <c r="E124" s="20"/>
    </row>
    <row r="125" spans="1:5">
      <c r="A125" s="20">
        <v>113</v>
      </c>
      <c r="B125" s="20" t="s">
        <v>241</v>
      </c>
      <c r="C125" s="20">
        <v>230000</v>
      </c>
      <c r="D125" s="20"/>
      <c r="E125" s="20"/>
    </row>
    <row r="126" spans="1:5">
      <c r="A126" s="20">
        <v>114</v>
      </c>
      <c r="B126" s="20" t="s">
        <v>242</v>
      </c>
      <c r="C126" s="20">
        <v>225000</v>
      </c>
      <c r="D126" s="20"/>
      <c r="E126" s="20"/>
    </row>
    <row r="127" spans="1:5">
      <c r="A127" s="20">
        <v>115</v>
      </c>
      <c r="B127" s="20" t="s">
        <v>243</v>
      </c>
      <c r="C127" s="20">
        <v>205000</v>
      </c>
      <c r="D127" s="20"/>
      <c r="E127" s="20"/>
    </row>
    <row r="128" spans="1:5">
      <c r="A128" s="20">
        <v>116</v>
      </c>
      <c r="B128" s="20" t="s">
        <v>244</v>
      </c>
      <c r="C128" s="20">
        <v>201000</v>
      </c>
      <c r="D128" s="20"/>
      <c r="E128" s="20"/>
    </row>
    <row r="129" spans="1:5">
      <c r="A129" s="20">
        <v>117</v>
      </c>
      <c r="B129" s="20" t="s">
        <v>245</v>
      </c>
      <c r="C129" s="20">
        <v>200000</v>
      </c>
      <c r="D129" s="20"/>
      <c r="E129" s="20"/>
    </row>
    <row r="130" spans="1:5">
      <c r="A130" s="20">
        <v>118</v>
      </c>
      <c r="B130" s="20" t="s">
        <v>246</v>
      </c>
      <c r="C130" s="20">
        <v>10000000</v>
      </c>
      <c r="D130" s="20"/>
      <c r="E130" s="20"/>
    </row>
    <row r="131" spans="1:5">
      <c r="A131" s="20">
        <v>119</v>
      </c>
      <c r="B131" s="20" t="s">
        <v>247</v>
      </c>
      <c r="C131" s="20">
        <v>8911948</v>
      </c>
      <c r="D131" s="20"/>
      <c r="E131" s="20"/>
    </row>
    <row r="132" spans="1:5">
      <c r="A132" s="20">
        <v>120</v>
      </c>
      <c r="B132" s="20" t="s">
        <v>248</v>
      </c>
      <c r="C132" s="20">
        <v>8175000</v>
      </c>
      <c r="D132" s="20"/>
      <c r="E132" s="20"/>
    </row>
    <row r="133" spans="1:5">
      <c r="A133" s="20">
        <v>121</v>
      </c>
      <c r="B133" s="20" t="s">
        <v>249</v>
      </c>
      <c r="C133" s="20">
        <v>8000000</v>
      </c>
      <c r="D133" s="20"/>
      <c r="E133" s="20"/>
    </row>
    <row r="134" spans="1:5">
      <c r="A134" s="20">
        <v>122</v>
      </c>
      <c r="B134" s="20" t="s">
        <v>250</v>
      </c>
      <c r="C134" s="20">
        <v>7342698</v>
      </c>
      <c r="D134" s="20"/>
      <c r="E134" s="20"/>
    </row>
    <row r="135" spans="1:5">
      <c r="A135" s="20">
        <v>123</v>
      </c>
      <c r="B135" s="20" t="s">
        <v>251</v>
      </c>
      <c r="C135" s="20">
        <v>6000000</v>
      </c>
      <c r="D135" s="20"/>
      <c r="E135" s="20"/>
    </row>
    <row r="136" spans="1:5">
      <c r="A136" s="20">
        <v>124</v>
      </c>
      <c r="B136" s="20" t="s">
        <v>252</v>
      </c>
      <c r="C136" s="20">
        <v>5750000</v>
      </c>
      <c r="D136" s="20"/>
      <c r="E136" s="20"/>
    </row>
    <row r="137" spans="1:5">
      <c r="A137" s="20">
        <v>125</v>
      </c>
      <c r="B137" s="20" t="s">
        <v>253</v>
      </c>
      <c r="C137" s="20">
        <v>5666667</v>
      </c>
      <c r="D137" s="20"/>
      <c r="E137" s="20"/>
    </row>
    <row r="138" spans="1:5">
      <c r="A138" s="20">
        <v>126</v>
      </c>
      <c r="B138" s="20" t="s">
        <v>254</v>
      </c>
      <c r="C138" s="20">
        <v>5000000</v>
      </c>
      <c r="D138" s="20"/>
      <c r="E138" s="20"/>
    </row>
    <row r="139" spans="1:5">
      <c r="A139" s="20">
        <v>127</v>
      </c>
      <c r="B139" s="20" t="s">
        <v>255</v>
      </c>
      <c r="C139" s="20">
        <v>3000000</v>
      </c>
      <c r="D139" s="20"/>
      <c r="E139" s="20"/>
    </row>
    <row r="140" spans="1:5">
      <c r="A140" s="20">
        <v>128</v>
      </c>
      <c r="B140" s="20" t="s">
        <v>256</v>
      </c>
      <c r="C140" s="20">
        <v>2700000</v>
      </c>
      <c r="D140" s="20"/>
      <c r="E140" s="20"/>
    </row>
    <row r="141" spans="1:5">
      <c r="A141" s="20">
        <v>129</v>
      </c>
      <c r="B141" s="20" t="s">
        <v>257</v>
      </c>
      <c r="C141" s="20">
        <v>2666667</v>
      </c>
      <c r="D141" s="20"/>
      <c r="E141" s="20"/>
    </row>
    <row r="142" spans="1:5">
      <c r="A142" s="20">
        <v>130</v>
      </c>
      <c r="B142" s="20" t="s">
        <v>258</v>
      </c>
      <c r="C142" s="20">
        <v>2625000</v>
      </c>
      <c r="D142" s="20"/>
      <c r="E142" s="20"/>
    </row>
    <row r="143" spans="1:5">
      <c r="A143" s="20">
        <v>131</v>
      </c>
      <c r="B143" s="20" t="s">
        <v>259</v>
      </c>
      <c r="C143" s="20">
        <v>2600000</v>
      </c>
      <c r="D143" s="20"/>
      <c r="E143" s="20"/>
    </row>
    <row r="144" spans="1:5">
      <c r="A144" s="20">
        <v>132</v>
      </c>
      <c r="B144" s="20" t="s">
        <v>260</v>
      </c>
      <c r="C144" s="20">
        <v>2562500</v>
      </c>
      <c r="D144" s="20"/>
      <c r="E144" s="20"/>
    </row>
    <row r="145" spans="1:5">
      <c r="A145" s="20">
        <v>133</v>
      </c>
      <c r="B145" s="20" t="s">
        <v>261</v>
      </c>
      <c r="C145" s="20">
        <v>2000000</v>
      </c>
      <c r="D145" s="20"/>
      <c r="E145" s="20"/>
    </row>
    <row r="146" spans="1:5">
      <c r="A146" s="20">
        <v>134</v>
      </c>
      <c r="B146" s="20" t="s">
        <v>262</v>
      </c>
      <c r="C146" s="20">
        <v>1800000</v>
      </c>
      <c r="D146" s="20"/>
      <c r="E146" s="20"/>
    </row>
    <row r="147" spans="1:5">
      <c r="A147" s="20">
        <v>135</v>
      </c>
      <c r="B147" s="20" t="s">
        <v>263</v>
      </c>
      <c r="C147" s="20">
        <v>1600000</v>
      </c>
      <c r="D147" s="20"/>
      <c r="E147" s="20"/>
    </row>
    <row r="148" spans="1:5">
      <c r="A148" s="20">
        <v>136</v>
      </c>
      <c r="B148" s="20" t="s">
        <v>264</v>
      </c>
      <c r="C148" s="20">
        <v>1500000</v>
      </c>
      <c r="D148" s="20"/>
      <c r="E148" s="20"/>
    </row>
    <row r="149" spans="1:5">
      <c r="A149" s="20">
        <v>137</v>
      </c>
      <c r="B149" s="20" t="s">
        <v>265</v>
      </c>
      <c r="C149" s="20">
        <v>1325000</v>
      </c>
      <c r="D149" s="20"/>
      <c r="E149" s="20"/>
    </row>
    <row r="150" spans="1:5">
      <c r="A150" s="20">
        <v>138</v>
      </c>
      <c r="B150" s="20" t="s">
        <v>266</v>
      </c>
      <c r="C150" s="20">
        <v>600000</v>
      </c>
      <c r="D150" s="20"/>
      <c r="E150" s="20"/>
    </row>
    <row r="151" spans="1:5">
      <c r="A151" s="20">
        <v>139</v>
      </c>
      <c r="B151" s="20" t="s">
        <v>267</v>
      </c>
      <c r="C151" s="20">
        <v>387500</v>
      </c>
      <c r="D151" s="20"/>
      <c r="E151" s="20"/>
    </row>
    <row r="152" spans="1:5">
      <c r="A152" s="20">
        <v>140</v>
      </c>
      <c r="B152" s="20" t="s">
        <v>268</v>
      </c>
      <c r="C152" s="20">
        <v>243000</v>
      </c>
      <c r="D152" s="20"/>
      <c r="E152" s="20"/>
    </row>
    <row r="153" spans="1:5">
      <c r="A153" s="20">
        <v>141</v>
      </c>
      <c r="B153" s="20" t="s">
        <v>269</v>
      </c>
      <c r="C153" s="20">
        <v>237000</v>
      </c>
      <c r="D153" s="20"/>
      <c r="E153" s="20"/>
    </row>
    <row r="154" spans="1:5">
      <c r="A154" s="20">
        <v>142</v>
      </c>
      <c r="B154" s="20" t="s">
        <v>270</v>
      </c>
      <c r="C154" s="20">
        <v>230000</v>
      </c>
      <c r="D154" s="20"/>
      <c r="E154" s="20"/>
    </row>
    <row r="155" spans="1:5">
      <c r="A155" s="20">
        <v>143</v>
      </c>
      <c r="B155" s="20" t="s">
        <v>271</v>
      </c>
      <c r="C155" s="20">
        <v>219000</v>
      </c>
      <c r="D155" s="20"/>
      <c r="E155" s="20"/>
    </row>
    <row r="156" spans="1:5">
      <c r="A156" s="20">
        <v>144</v>
      </c>
      <c r="B156" s="20" t="s">
        <v>272</v>
      </c>
      <c r="C156" s="20">
        <v>214000</v>
      </c>
      <c r="D156" s="20"/>
      <c r="E156" s="20"/>
    </row>
    <row r="157" spans="1:5">
      <c r="A157" s="20">
        <v>145</v>
      </c>
      <c r="B157" s="20" t="s">
        <v>273</v>
      </c>
      <c r="C157" s="20">
        <v>209000</v>
      </c>
      <c r="D157" s="20"/>
      <c r="E157" s="20"/>
    </row>
    <row r="158" spans="1:5">
      <c r="A158" s="20">
        <v>146</v>
      </c>
      <c r="B158" s="20" t="s">
        <v>274</v>
      </c>
      <c r="C158" s="20">
        <v>208000</v>
      </c>
      <c r="D158" s="20"/>
      <c r="E158" s="20"/>
    </row>
    <row r="159" spans="1:5">
      <c r="A159" s="20">
        <v>147</v>
      </c>
      <c r="B159" s="20" t="s">
        <v>275</v>
      </c>
      <c r="C159" s="20">
        <v>202000</v>
      </c>
      <c r="D159" s="20"/>
      <c r="E159" s="20"/>
    </row>
    <row r="160" spans="1:5">
      <c r="A160" s="20">
        <v>148</v>
      </c>
      <c r="B160" s="20" t="s">
        <v>276</v>
      </c>
      <c r="C160" s="20">
        <v>7500000</v>
      </c>
      <c r="D160" s="20"/>
      <c r="E160" s="20"/>
    </row>
    <row r="161" spans="1:5">
      <c r="A161" s="20">
        <v>149</v>
      </c>
      <c r="B161" s="20" t="s">
        <v>277</v>
      </c>
      <c r="C161" s="20">
        <v>5325000</v>
      </c>
      <c r="D161" s="20"/>
      <c r="E161" s="20"/>
    </row>
    <row r="162" spans="1:5">
      <c r="A162" s="20">
        <v>150</v>
      </c>
      <c r="B162" s="20" t="s">
        <v>278</v>
      </c>
      <c r="C162" s="20">
        <v>5300000</v>
      </c>
      <c r="D162" s="20"/>
      <c r="E162" s="20"/>
    </row>
    <row r="163" spans="1:5">
      <c r="A163" s="20">
        <v>151</v>
      </c>
      <c r="B163" s="20" t="s">
        <v>279</v>
      </c>
      <c r="C163" s="20">
        <v>5250000</v>
      </c>
      <c r="D163" s="20"/>
      <c r="E163" s="20"/>
    </row>
    <row r="164" spans="1:5">
      <c r="A164" s="20">
        <v>152</v>
      </c>
      <c r="B164" s="20" t="s">
        <v>280</v>
      </c>
      <c r="C164" s="20">
        <v>4662500</v>
      </c>
      <c r="D164" s="20"/>
      <c r="E164" s="20"/>
    </row>
    <row r="165" spans="1:5">
      <c r="A165" s="20">
        <v>153</v>
      </c>
      <c r="B165" s="20" t="s">
        <v>281</v>
      </c>
      <c r="C165" s="20">
        <v>3975000</v>
      </c>
      <c r="D165" s="20"/>
      <c r="E165" s="20"/>
    </row>
    <row r="166" spans="1:5">
      <c r="A166" s="20">
        <v>154</v>
      </c>
      <c r="B166" s="20" t="s">
        <v>282</v>
      </c>
      <c r="C166" s="20">
        <v>3525000</v>
      </c>
      <c r="D166" s="20"/>
      <c r="E166" s="20"/>
    </row>
    <row r="167" spans="1:5">
      <c r="A167" s="20">
        <v>155</v>
      </c>
      <c r="B167" s="20" t="s">
        <v>283</v>
      </c>
      <c r="C167" s="20">
        <v>2700000</v>
      </c>
      <c r="D167" s="20"/>
      <c r="E167" s="20"/>
    </row>
    <row r="168" spans="1:5">
      <c r="A168" s="20">
        <v>156</v>
      </c>
      <c r="B168" s="20" t="s">
        <v>284</v>
      </c>
      <c r="C168" s="20">
        <v>2416667</v>
      </c>
      <c r="D168" s="20"/>
      <c r="E168" s="20"/>
    </row>
    <row r="169" spans="1:5">
      <c r="A169" s="20">
        <v>157</v>
      </c>
      <c r="B169" s="20" t="s">
        <v>285</v>
      </c>
      <c r="C169" s="20">
        <v>1850000</v>
      </c>
      <c r="D169" s="20"/>
      <c r="E169" s="20"/>
    </row>
    <row r="170" spans="1:5">
      <c r="A170" s="20">
        <v>158</v>
      </c>
      <c r="B170" s="20" t="s">
        <v>286</v>
      </c>
      <c r="C170" s="20">
        <v>1200000</v>
      </c>
      <c r="D170" s="20"/>
      <c r="E170" s="20"/>
    </row>
    <row r="171" spans="1:5">
      <c r="A171" s="20">
        <v>159</v>
      </c>
      <c r="B171" s="20" t="s">
        <v>287</v>
      </c>
      <c r="C171" s="20">
        <v>1100000</v>
      </c>
      <c r="D171" s="20"/>
      <c r="E171" s="20"/>
    </row>
    <row r="172" spans="1:5">
      <c r="A172" s="20">
        <v>160</v>
      </c>
      <c r="B172" s="20" t="s">
        <v>288</v>
      </c>
      <c r="C172" s="20">
        <v>650000</v>
      </c>
      <c r="D172" s="20"/>
      <c r="E172" s="20"/>
    </row>
    <row r="173" spans="1:5">
      <c r="A173" s="20">
        <v>161</v>
      </c>
      <c r="B173" s="20" t="s">
        <v>289</v>
      </c>
      <c r="C173" s="20">
        <v>440000</v>
      </c>
      <c r="D173" s="20"/>
      <c r="E173" s="20"/>
    </row>
    <row r="174" spans="1:5">
      <c r="A174" s="20">
        <v>162</v>
      </c>
      <c r="B174" s="20" t="s">
        <v>290</v>
      </c>
      <c r="C174" s="20">
        <v>425000</v>
      </c>
      <c r="D174" s="20"/>
      <c r="E174" s="20"/>
    </row>
    <row r="175" spans="1:5">
      <c r="A175" s="20">
        <v>163</v>
      </c>
      <c r="B175" s="20" t="s">
        <v>291</v>
      </c>
      <c r="C175" s="20">
        <v>420000</v>
      </c>
      <c r="D175" s="20"/>
      <c r="E175" s="20"/>
    </row>
    <row r="176" spans="1:5">
      <c r="A176" s="20">
        <v>164</v>
      </c>
      <c r="B176" s="20" t="s">
        <v>292</v>
      </c>
      <c r="C176" s="20">
        <v>355000</v>
      </c>
      <c r="D176" s="20"/>
      <c r="E176" s="20"/>
    </row>
    <row r="177" spans="1:5">
      <c r="A177" s="20">
        <v>165</v>
      </c>
      <c r="B177" s="20" t="s">
        <v>293</v>
      </c>
      <c r="C177" s="20">
        <v>345000</v>
      </c>
      <c r="D177" s="20"/>
      <c r="E177" s="20"/>
    </row>
    <row r="178" spans="1:5">
      <c r="A178" s="20">
        <v>166</v>
      </c>
      <c r="B178" s="20" t="s">
        <v>294</v>
      </c>
      <c r="C178" s="20">
        <v>275000</v>
      </c>
      <c r="D178" s="20"/>
      <c r="E178" s="20"/>
    </row>
    <row r="179" spans="1:5">
      <c r="A179" s="20">
        <v>167</v>
      </c>
      <c r="B179" s="20" t="s">
        <v>295</v>
      </c>
      <c r="C179" s="20">
        <v>260000</v>
      </c>
      <c r="D179" s="20"/>
      <c r="E179" s="20"/>
    </row>
    <row r="180" spans="1:5">
      <c r="A180" s="20">
        <v>168</v>
      </c>
      <c r="B180" s="20" t="s">
        <v>296</v>
      </c>
      <c r="C180" s="20">
        <v>255000</v>
      </c>
      <c r="D180" s="20"/>
      <c r="E180" s="20"/>
    </row>
    <row r="181" spans="1:5">
      <c r="A181" s="20">
        <v>169</v>
      </c>
      <c r="B181" s="20" t="s">
        <v>297</v>
      </c>
      <c r="C181" s="20">
        <v>255000</v>
      </c>
      <c r="D181" s="20"/>
      <c r="E181" s="20"/>
    </row>
    <row r="182" spans="1:5">
      <c r="A182" s="20">
        <v>170</v>
      </c>
      <c r="B182" s="20" t="s">
        <v>298</v>
      </c>
      <c r="C182" s="20">
        <v>250000</v>
      </c>
      <c r="D182" s="20"/>
      <c r="E182" s="20"/>
    </row>
    <row r="183" spans="1:5">
      <c r="A183" s="20">
        <v>171</v>
      </c>
      <c r="B183" s="20" t="s">
        <v>299</v>
      </c>
      <c r="C183" s="20">
        <v>240000</v>
      </c>
      <c r="D183" s="20"/>
      <c r="E183" s="20"/>
    </row>
    <row r="184" spans="1:5">
      <c r="A184" s="20">
        <v>172</v>
      </c>
      <c r="B184" s="20" t="s">
        <v>300</v>
      </c>
      <c r="C184" s="20">
        <v>240000</v>
      </c>
      <c r="D184" s="20"/>
      <c r="E184" s="20"/>
    </row>
    <row r="185" spans="1:5">
      <c r="A185" s="20">
        <v>173</v>
      </c>
      <c r="B185" s="20" t="s">
        <v>301</v>
      </c>
      <c r="C185" s="20">
        <v>217000</v>
      </c>
      <c r="D185" s="20"/>
      <c r="E185" s="20"/>
    </row>
    <row r="186" spans="1:5">
      <c r="A186" s="20">
        <v>174</v>
      </c>
      <c r="B186" s="20" t="s">
        <v>302</v>
      </c>
      <c r="C186" s="20">
        <v>200000</v>
      </c>
      <c r="D186" s="20"/>
      <c r="E186" s="20"/>
    </row>
    <row r="187" spans="1:5">
      <c r="A187" s="20">
        <v>175</v>
      </c>
      <c r="B187" s="20" t="s">
        <v>303</v>
      </c>
      <c r="C187" s="20">
        <v>200000</v>
      </c>
      <c r="D187" s="20"/>
      <c r="E187" s="20"/>
    </row>
    <row r="188" spans="1:5">
      <c r="A188" s="20">
        <v>176</v>
      </c>
      <c r="B188" s="20" t="s">
        <v>304</v>
      </c>
      <c r="C188" s="20">
        <v>6000000</v>
      </c>
      <c r="D188" s="20"/>
      <c r="E188" s="20"/>
    </row>
    <row r="189" spans="1:5">
      <c r="A189" s="20">
        <v>177</v>
      </c>
      <c r="B189" s="20" t="s">
        <v>305</v>
      </c>
      <c r="C189" s="20">
        <v>5000000</v>
      </c>
      <c r="D189" s="20"/>
      <c r="E189" s="20"/>
    </row>
    <row r="190" spans="1:5">
      <c r="A190" s="20">
        <v>178</v>
      </c>
      <c r="B190" s="20" t="s">
        <v>306</v>
      </c>
      <c r="C190" s="20">
        <v>3800000</v>
      </c>
      <c r="D190" s="20"/>
      <c r="E190" s="20"/>
    </row>
    <row r="191" spans="1:5">
      <c r="A191" s="20">
        <v>179</v>
      </c>
      <c r="B191" s="20" t="s">
        <v>307</v>
      </c>
      <c r="C191" s="20">
        <v>3250000</v>
      </c>
      <c r="D191" s="20"/>
      <c r="E191" s="20"/>
    </row>
    <row r="192" spans="1:5">
      <c r="A192" s="20">
        <v>180</v>
      </c>
      <c r="B192" s="20" t="s">
        <v>308</v>
      </c>
      <c r="C192" s="20">
        <v>2350000</v>
      </c>
      <c r="D192" s="20"/>
      <c r="E192" s="20"/>
    </row>
    <row r="193" spans="1:5">
      <c r="A193" s="20">
        <v>181</v>
      </c>
      <c r="B193" s="20" t="s">
        <v>309</v>
      </c>
      <c r="C193" s="20">
        <v>2300000</v>
      </c>
      <c r="D193" s="20"/>
      <c r="E193" s="20"/>
    </row>
    <row r="194" spans="1:5">
      <c r="A194" s="20">
        <v>182</v>
      </c>
      <c r="B194" s="20" t="s">
        <v>310</v>
      </c>
      <c r="C194" s="20">
        <v>2300000</v>
      </c>
      <c r="D194" s="20"/>
      <c r="E194" s="20"/>
    </row>
    <row r="195" spans="1:5">
      <c r="A195" s="20">
        <v>183</v>
      </c>
      <c r="B195" s="20" t="s">
        <v>311</v>
      </c>
      <c r="C195" s="20">
        <v>1900000</v>
      </c>
      <c r="D195" s="20"/>
      <c r="E195" s="20"/>
    </row>
    <row r="196" spans="1:5">
      <c r="A196" s="20">
        <v>184</v>
      </c>
      <c r="B196" s="20" t="s">
        <v>312</v>
      </c>
      <c r="C196" s="20">
        <v>1200000</v>
      </c>
      <c r="D196" s="20"/>
      <c r="E196" s="20"/>
    </row>
    <row r="197" spans="1:5">
      <c r="A197" s="20">
        <v>185</v>
      </c>
      <c r="B197" s="20" t="s">
        <v>313</v>
      </c>
      <c r="C197" s="20">
        <v>1150000</v>
      </c>
      <c r="D197" s="20"/>
      <c r="E197" s="20"/>
    </row>
    <row r="198" spans="1:5">
      <c r="A198" s="20">
        <v>186</v>
      </c>
      <c r="B198" s="20" t="s">
        <v>314</v>
      </c>
      <c r="C198" s="20">
        <v>800000</v>
      </c>
      <c r="D198" s="20"/>
      <c r="E198" s="20"/>
    </row>
    <row r="199" spans="1:5">
      <c r="A199" s="20">
        <v>187</v>
      </c>
      <c r="B199" s="20" t="s">
        <v>315</v>
      </c>
      <c r="C199" s="20">
        <v>750000</v>
      </c>
      <c r="D199" s="20"/>
      <c r="E199" s="20"/>
    </row>
    <row r="200" spans="1:5">
      <c r="A200" s="20">
        <v>188</v>
      </c>
      <c r="B200" s="20" t="s">
        <v>316</v>
      </c>
      <c r="C200" s="20">
        <v>750000</v>
      </c>
      <c r="D200" s="20"/>
      <c r="E200" s="20"/>
    </row>
    <row r="201" spans="1:5">
      <c r="A201" s="20">
        <v>189</v>
      </c>
      <c r="B201" s="20" t="s">
        <v>317</v>
      </c>
      <c r="C201" s="20">
        <v>425000</v>
      </c>
      <c r="D201" s="20"/>
      <c r="E201" s="20"/>
    </row>
    <row r="202" spans="1:5">
      <c r="A202" s="20">
        <v>190</v>
      </c>
      <c r="B202" s="20" t="s">
        <v>318</v>
      </c>
      <c r="C202" s="20">
        <v>320000</v>
      </c>
      <c r="D202" s="20"/>
      <c r="E202" s="20"/>
    </row>
    <row r="203" spans="1:5">
      <c r="A203" s="20">
        <v>191</v>
      </c>
      <c r="B203" s="20" t="s">
        <v>319</v>
      </c>
      <c r="C203" s="20">
        <v>310000</v>
      </c>
      <c r="D203" s="20"/>
      <c r="E203" s="20"/>
    </row>
    <row r="204" spans="1:5">
      <c r="A204" s="20">
        <v>192</v>
      </c>
      <c r="B204" s="20" t="s">
        <v>320</v>
      </c>
      <c r="C204" s="20">
        <v>280000</v>
      </c>
      <c r="D204" s="20"/>
      <c r="E204" s="20"/>
    </row>
    <row r="205" spans="1:5">
      <c r="A205" s="20">
        <v>193</v>
      </c>
      <c r="B205" s="20" t="s">
        <v>321</v>
      </c>
      <c r="C205" s="20">
        <v>275000</v>
      </c>
      <c r="D205" s="20"/>
      <c r="E205" s="20"/>
    </row>
    <row r="206" spans="1:5">
      <c r="A206" s="20">
        <v>194</v>
      </c>
      <c r="B206" s="20" t="s">
        <v>322</v>
      </c>
      <c r="C206" s="20">
        <v>265000</v>
      </c>
      <c r="D206" s="20"/>
      <c r="E206" s="20"/>
    </row>
    <row r="207" spans="1:5">
      <c r="A207" s="20">
        <v>195</v>
      </c>
      <c r="B207" s="20" t="s">
        <v>323</v>
      </c>
      <c r="C207" s="20">
        <v>260000</v>
      </c>
      <c r="D207" s="20"/>
      <c r="E207" s="20"/>
    </row>
    <row r="208" spans="1:5">
      <c r="A208" s="20">
        <v>196</v>
      </c>
      <c r="B208" s="20" t="s">
        <v>324</v>
      </c>
      <c r="C208" s="20">
        <v>260000</v>
      </c>
      <c r="D208" s="20"/>
      <c r="E208" s="20"/>
    </row>
    <row r="209" spans="1:5">
      <c r="A209" s="20">
        <v>197</v>
      </c>
      <c r="B209" s="20" t="s">
        <v>325</v>
      </c>
      <c r="C209" s="20">
        <v>235000</v>
      </c>
      <c r="D209" s="20"/>
      <c r="E209" s="20"/>
    </row>
    <row r="210" spans="1:5">
      <c r="A210" s="20">
        <v>198</v>
      </c>
      <c r="B210" s="20" t="s">
        <v>326</v>
      </c>
      <c r="C210" s="20">
        <v>235000</v>
      </c>
      <c r="D210" s="20"/>
      <c r="E210" s="20"/>
    </row>
    <row r="211" spans="1:5">
      <c r="A211" s="20">
        <v>199</v>
      </c>
      <c r="B211" s="20" t="s">
        <v>327</v>
      </c>
      <c r="C211" s="20">
        <v>211500</v>
      </c>
      <c r="D211" s="20"/>
      <c r="E211" s="20"/>
    </row>
    <row r="212" spans="1:5">
      <c r="A212" s="20">
        <v>200</v>
      </c>
      <c r="B212" s="20" t="s">
        <v>328</v>
      </c>
      <c r="C212" s="20">
        <v>205000</v>
      </c>
      <c r="D212" s="20"/>
      <c r="E212" s="20"/>
    </row>
    <row r="213" spans="1:5">
      <c r="A213" s="20">
        <v>201</v>
      </c>
      <c r="B213" s="20" t="s">
        <v>329</v>
      </c>
      <c r="C213" s="20">
        <v>205000</v>
      </c>
      <c r="D213" s="20"/>
      <c r="E213" s="20"/>
    </row>
    <row r="214" spans="1:5">
      <c r="A214" s="20">
        <v>202</v>
      </c>
      <c r="B214" s="20" t="s">
        <v>330</v>
      </c>
      <c r="C214" s="20">
        <v>204000</v>
      </c>
      <c r="D214" s="20"/>
      <c r="E214" s="20"/>
    </row>
    <row r="215" spans="1:5">
      <c r="A215" s="20">
        <v>203</v>
      </c>
      <c r="B215" s="20" t="s">
        <v>331</v>
      </c>
      <c r="C215" s="20">
        <v>202500</v>
      </c>
      <c r="D215" s="20"/>
      <c r="E215" s="20"/>
    </row>
    <row r="216" spans="1:5">
      <c r="A216" s="20">
        <v>204</v>
      </c>
      <c r="B216" s="20" t="s">
        <v>332</v>
      </c>
      <c r="C216" s="20">
        <v>200000</v>
      </c>
      <c r="D216" s="20"/>
      <c r="E216" s="20"/>
    </row>
    <row r="217" spans="1:5">
      <c r="A217" s="20">
        <v>205</v>
      </c>
      <c r="B217" s="20" t="s">
        <v>333</v>
      </c>
      <c r="C217" s="20">
        <v>7750000</v>
      </c>
      <c r="D217" s="20"/>
      <c r="E217" s="20"/>
    </row>
    <row r="218" spans="1:5">
      <c r="A218" s="20">
        <v>206</v>
      </c>
      <c r="B218" s="20" t="s">
        <v>334</v>
      </c>
      <c r="C218" s="20">
        <v>3900000</v>
      </c>
      <c r="D218" s="20"/>
      <c r="E218" s="20"/>
    </row>
    <row r="219" spans="1:5">
      <c r="A219" s="20">
        <v>207</v>
      </c>
      <c r="B219" s="20" t="s">
        <v>335</v>
      </c>
      <c r="C219" s="20">
        <v>2150000</v>
      </c>
      <c r="D219" s="20"/>
      <c r="E219" s="20"/>
    </row>
    <row r="220" spans="1:5">
      <c r="A220" s="20">
        <v>208</v>
      </c>
      <c r="B220" s="20" t="s">
        <v>336</v>
      </c>
      <c r="C220" s="20">
        <v>1800000</v>
      </c>
      <c r="D220" s="20"/>
      <c r="E220" s="20"/>
    </row>
    <row r="221" spans="1:5">
      <c r="A221" s="20">
        <v>209</v>
      </c>
      <c r="B221" s="20" t="s">
        <v>337</v>
      </c>
      <c r="C221" s="20">
        <v>1450000</v>
      </c>
      <c r="D221" s="20"/>
      <c r="E221" s="20"/>
    </row>
    <row r="222" spans="1:5">
      <c r="A222" s="20">
        <v>210</v>
      </c>
      <c r="B222" s="20" t="s">
        <v>338</v>
      </c>
      <c r="C222" s="20">
        <v>1100000</v>
      </c>
      <c r="D222" s="20"/>
      <c r="E222" s="20"/>
    </row>
    <row r="223" spans="1:5">
      <c r="A223" s="20">
        <v>211</v>
      </c>
      <c r="B223" s="20" t="s">
        <v>339</v>
      </c>
      <c r="C223" s="20">
        <v>900000</v>
      </c>
      <c r="D223" s="20"/>
      <c r="E223" s="20"/>
    </row>
    <row r="224" spans="1:5">
      <c r="A224" s="20">
        <v>212</v>
      </c>
      <c r="B224" s="20" t="s">
        <v>340</v>
      </c>
      <c r="C224" s="20">
        <v>500000</v>
      </c>
      <c r="D224" s="20"/>
      <c r="E224" s="20"/>
    </row>
    <row r="225" spans="1:5">
      <c r="A225" s="20">
        <v>213</v>
      </c>
      <c r="B225" s="20" t="s">
        <v>341</v>
      </c>
      <c r="C225" s="20">
        <v>400000</v>
      </c>
      <c r="D225" s="20"/>
      <c r="E225" s="20"/>
    </row>
    <row r="226" spans="1:5">
      <c r="A226" s="20">
        <v>214</v>
      </c>
      <c r="B226" s="20" t="s">
        <v>342</v>
      </c>
      <c r="C226" s="20">
        <v>400000</v>
      </c>
      <c r="D226" s="20"/>
      <c r="E226" s="20"/>
    </row>
    <row r="227" spans="1:5">
      <c r="A227" s="20">
        <v>215</v>
      </c>
      <c r="B227" s="20" t="s">
        <v>343</v>
      </c>
      <c r="C227" s="20">
        <v>325000</v>
      </c>
      <c r="D227" s="20"/>
      <c r="E227" s="20"/>
    </row>
    <row r="228" spans="1:5">
      <c r="A228" s="20">
        <v>216</v>
      </c>
      <c r="B228" s="20" t="s">
        <v>344</v>
      </c>
      <c r="C228" s="20">
        <v>275000</v>
      </c>
      <c r="D228" s="20"/>
      <c r="E228" s="20"/>
    </row>
    <row r="229" spans="1:5">
      <c r="A229" s="20">
        <v>217</v>
      </c>
      <c r="B229" s="20" t="s">
        <v>345</v>
      </c>
      <c r="C229" s="20">
        <v>260000</v>
      </c>
      <c r="D229" s="20"/>
      <c r="E229" s="20"/>
    </row>
    <row r="230" spans="1:5">
      <c r="A230" s="20">
        <v>218</v>
      </c>
      <c r="B230" s="20" t="s">
        <v>346</v>
      </c>
      <c r="C230" s="20">
        <v>260000</v>
      </c>
      <c r="D230" s="20"/>
      <c r="E230" s="20"/>
    </row>
    <row r="231" spans="1:5">
      <c r="A231" s="20">
        <v>219</v>
      </c>
      <c r="B231" s="20" t="s">
        <v>347</v>
      </c>
      <c r="C231" s="20">
        <v>255000</v>
      </c>
      <c r="D231" s="20"/>
      <c r="E231" s="20"/>
    </row>
    <row r="232" spans="1:5">
      <c r="A232" s="20">
        <v>220</v>
      </c>
      <c r="B232" s="20" t="s">
        <v>348</v>
      </c>
      <c r="C232" s="20">
        <v>250000</v>
      </c>
      <c r="D232" s="20"/>
      <c r="E232" s="20"/>
    </row>
    <row r="233" spans="1:5">
      <c r="A233" s="20">
        <v>221</v>
      </c>
      <c r="B233" s="20" t="s">
        <v>349</v>
      </c>
      <c r="C233" s="20">
        <v>240000</v>
      </c>
      <c r="D233" s="20"/>
      <c r="E233" s="20"/>
    </row>
    <row r="234" spans="1:5">
      <c r="A234" s="20">
        <v>222</v>
      </c>
      <c r="B234" s="20" t="s">
        <v>350</v>
      </c>
      <c r="C234" s="20">
        <v>235000</v>
      </c>
      <c r="D234" s="20"/>
      <c r="E234" s="20"/>
    </row>
    <row r="235" spans="1:5">
      <c r="A235" s="20">
        <v>223</v>
      </c>
      <c r="B235" s="20" t="s">
        <v>351</v>
      </c>
      <c r="C235" s="20">
        <v>235000</v>
      </c>
      <c r="D235" s="20"/>
      <c r="E235" s="20"/>
    </row>
    <row r="236" spans="1:5">
      <c r="A236" s="20">
        <v>224</v>
      </c>
      <c r="B236" s="20" t="s">
        <v>352</v>
      </c>
      <c r="C236" s="20">
        <v>215000</v>
      </c>
      <c r="D236" s="20"/>
      <c r="E236" s="20"/>
    </row>
    <row r="237" spans="1:5">
      <c r="A237" s="20">
        <v>225</v>
      </c>
      <c r="B237" s="20" t="s">
        <v>353</v>
      </c>
      <c r="C237" s="20">
        <v>215000</v>
      </c>
      <c r="D237" s="20"/>
      <c r="E237" s="20"/>
    </row>
    <row r="238" spans="1:5">
      <c r="A238" s="20">
        <v>226</v>
      </c>
      <c r="B238" s="20" t="s">
        <v>354</v>
      </c>
      <c r="C238" s="20">
        <v>212500</v>
      </c>
      <c r="D238" s="20"/>
      <c r="E238" s="20"/>
    </row>
    <row r="239" spans="1:5">
      <c r="A239" s="20">
        <v>227</v>
      </c>
      <c r="B239" s="20" t="s">
        <v>355</v>
      </c>
      <c r="C239" s="20">
        <v>210000</v>
      </c>
      <c r="D239" s="20"/>
      <c r="E239" s="20"/>
    </row>
    <row r="240" spans="1:5">
      <c r="A240" s="20">
        <v>228</v>
      </c>
      <c r="B240" s="20" t="s">
        <v>356</v>
      </c>
      <c r="C240" s="20">
        <v>207500</v>
      </c>
      <c r="D240" s="20"/>
      <c r="E240" s="20"/>
    </row>
    <row r="241" spans="1:5">
      <c r="A241" s="20">
        <v>229</v>
      </c>
      <c r="B241" s="20" t="s">
        <v>357</v>
      </c>
      <c r="C241" s="20">
        <v>205000</v>
      </c>
      <c r="D241" s="20"/>
      <c r="E241" s="20"/>
    </row>
    <row r="242" spans="1:5">
      <c r="A242" s="20">
        <v>230</v>
      </c>
      <c r="B242" s="20" t="s">
        <v>358</v>
      </c>
      <c r="C242" s="20">
        <v>200000</v>
      </c>
      <c r="D242" s="20"/>
      <c r="E242" s="20"/>
    </row>
    <row r="243" spans="1:5">
      <c r="A243" s="20">
        <v>231</v>
      </c>
      <c r="B243" s="20" t="s">
        <v>359</v>
      </c>
      <c r="C243" s="20">
        <v>200000</v>
      </c>
      <c r="D243" s="20"/>
      <c r="E243" s="20"/>
    </row>
    <row r="244" spans="1:5">
      <c r="A244" s="20">
        <v>232</v>
      </c>
      <c r="B244" s="20" t="s">
        <v>360</v>
      </c>
      <c r="C244" s="20">
        <v>12600000</v>
      </c>
      <c r="D244" s="20"/>
      <c r="E244" s="20"/>
    </row>
    <row r="245" spans="1:5">
      <c r="A245" s="20">
        <v>233</v>
      </c>
      <c r="B245" s="20" t="s">
        <v>361</v>
      </c>
      <c r="C245" s="20">
        <v>12357143</v>
      </c>
      <c r="D245" s="20"/>
      <c r="E245" s="20"/>
    </row>
    <row r="246" spans="1:5">
      <c r="A246" s="20">
        <v>234</v>
      </c>
      <c r="B246" s="20" t="s">
        <v>362</v>
      </c>
      <c r="C246" s="20">
        <v>10300000</v>
      </c>
      <c r="D246" s="20"/>
      <c r="E246" s="20"/>
    </row>
    <row r="247" spans="1:5">
      <c r="A247" s="20">
        <v>235</v>
      </c>
      <c r="B247" s="20" t="s">
        <v>363</v>
      </c>
      <c r="C247" s="20">
        <v>10000000</v>
      </c>
      <c r="D247" s="20"/>
      <c r="E247" s="20"/>
    </row>
    <row r="248" spans="1:5">
      <c r="A248" s="20">
        <v>236</v>
      </c>
      <c r="B248" s="20" t="s">
        <v>364</v>
      </c>
      <c r="C248" s="20">
        <v>9150000</v>
      </c>
      <c r="D248" s="20"/>
      <c r="E248" s="20"/>
    </row>
    <row r="249" spans="1:5">
      <c r="A249" s="20">
        <v>237</v>
      </c>
      <c r="B249" s="20" t="s">
        <v>365</v>
      </c>
      <c r="C249" s="20">
        <v>7000000</v>
      </c>
      <c r="D249" s="20"/>
      <c r="E249" s="20"/>
    </row>
    <row r="250" spans="1:5">
      <c r="A250" s="20">
        <v>238</v>
      </c>
      <c r="B250" s="20" t="s">
        <v>366</v>
      </c>
      <c r="C250" s="20">
        <v>7000000</v>
      </c>
      <c r="D250" s="20"/>
      <c r="E250" s="20"/>
    </row>
    <row r="251" spans="1:5">
      <c r="A251" s="20">
        <v>239</v>
      </c>
      <c r="B251" s="20" t="s">
        <v>367</v>
      </c>
      <c r="C251" s="20">
        <v>6500000</v>
      </c>
      <c r="D251" s="20"/>
      <c r="E251" s="20"/>
    </row>
    <row r="252" spans="1:5">
      <c r="A252" s="20">
        <v>240</v>
      </c>
      <c r="B252" s="20" t="s">
        <v>368</v>
      </c>
      <c r="C252" s="20">
        <v>6000000</v>
      </c>
      <c r="D252" s="20"/>
      <c r="E252" s="20"/>
    </row>
    <row r="253" spans="1:5">
      <c r="A253" s="20">
        <v>241</v>
      </c>
      <c r="B253" s="20" t="s">
        <v>369</v>
      </c>
      <c r="C253" s="20">
        <v>6000000</v>
      </c>
      <c r="D253" s="20"/>
      <c r="E253" s="20"/>
    </row>
    <row r="254" spans="1:5">
      <c r="A254" s="20">
        <v>242</v>
      </c>
      <c r="B254" s="20" t="s">
        <v>370</v>
      </c>
      <c r="C254" s="20">
        <v>5250000</v>
      </c>
      <c r="D254" s="20"/>
      <c r="E254" s="20"/>
    </row>
    <row r="255" spans="1:5">
      <c r="A255" s="20">
        <v>243</v>
      </c>
      <c r="B255" s="20" t="s">
        <v>371</v>
      </c>
      <c r="C255" s="20">
        <v>4050000</v>
      </c>
      <c r="D255" s="20"/>
      <c r="E255" s="20"/>
    </row>
    <row r="256" spans="1:5">
      <c r="A256" s="20">
        <v>244</v>
      </c>
      <c r="B256" s="20" t="s">
        <v>372</v>
      </c>
      <c r="C256" s="20">
        <v>2450000</v>
      </c>
      <c r="D256" s="20"/>
      <c r="E256" s="20"/>
    </row>
    <row r="257" spans="1:5">
      <c r="A257" s="20">
        <v>245</v>
      </c>
      <c r="B257" s="20" t="s">
        <v>373</v>
      </c>
      <c r="C257" s="20">
        <v>2050000</v>
      </c>
      <c r="D257" s="20"/>
      <c r="E257" s="20"/>
    </row>
    <row r="258" spans="1:5">
      <c r="A258" s="20">
        <v>246</v>
      </c>
      <c r="B258" s="20" t="s">
        <v>374</v>
      </c>
      <c r="C258" s="20">
        <v>1700000</v>
      </c>
      <c r="D258" s="20"/>
      <c r="E258" s="20"/>
    </row>
    <row r="259" spans="1:5">
      <c r="A259" s="20">
        <v>247</v>
      </c>
      <c r="B259" s="20" t="s">
        <v>375</v>
      </c>
      <c r="C259" s="20">
        <v>1600000</v>
      </c>
      <c r="D259" s="20"/>
      <c r="E259" s="20"/>
    </row>
    <row r="260" spans="1:5">
      <c r="A260" s="20">
        <v>248</v>
      </c>
      <c r="B260" s="20" t="s">
        <v>376</v>
      </c>
      <c r="C260" s="20">
        <v>1100000</v>
      </c>
      <c r="D260" s="20"/>
      <c r="E260" s="20"/>
    </row>
    <row r="261" spans="1:5">
      <c r="A261" s="20">
        <v>249</v>
      </c>
      <c r="B261" s="20" t="s">
        <v>377</v>
      </c>
      <c r="C261" s="20">
        <v>850000</v>
      </c>
      <c r="D261" s="20"/>
      <c r="E261" s="20"/>
    </row>
    <row r="262" spans="1:5">
      <c r="A262" s="20">
        <v>250</v>
      </c>
      <c r="B262" s="20" t="s">
        <v>378</v>
      </c>
      <c r="C262" s="20">
        <v>630000</v>
      </c>
      <c r="D262" s="20"/>
      <c r="E262" s="20"/>
    </row>
    <row r="263" spans="1:5">
      <c r="A263" s="20">
        <v>251</v>
      </c>
      <c r="B263" s="20" t="s">
        <v>379</v>
      </c>
      <c r="C263" s="20">
        <v>500000</v>
      </c>
      <c r="D263" s="20"/>
      <c r="E263" s="20"/>
    </row>
    <row r="264" spans="1:5">
      <c r="A264" s="20">
        <v>252</v>
      </c>
      <c r="B264" s="20" t="s">
        <v>380</v>
      </c>
      <c r="C264" s="20">
        <v>350000</v>
      </c>
      <c r="D264" s="20"/>
      <c r="E264" s="20"/>
    </row>
    <row r="265" spans="1:5">
      <c r="A265" s="20">
        <v>253</v>
      </c>
      <c r="B265" s="20" t="s">
        <v>381</v>
      </c>
      <c r="C265" s="20">
        <v>320000</v>
      </c>
      <c r="D265" s="20"/>
      <c r="E265" s="20"/>
    </row>
    <row r="266" spans="1:5">
      <c r="A266" s="20">
        <v>254</v>
      </c>
      <c r="B266" s="20" t="s">
        <v>382</v>
      </c>
      <c r="C266" s="20">
        <v>320000</v>
      </c>
      <c r="D266" s="20"/>
      <c r="E266" s="20"/>
    </row>
    <row r="267" spans="1:5">
      <c r="A267" s="20">
        <v>255</v>
      </c>
      <c r="B267" s="20" t="s">
        <v>383</v>
      </c>
      <c r="C267" s="20">
        <v>270000</v>
      </c>
      <c r="D267" s="20"/>
      <c r="E267" s="20"/>
    </row>
    <row r="268" spans="1:5">
      <c r="A268" s="20">
        <v>256</v>
      </c>
      <c r="B268" s="20" t="s">
        <v>384</v>
      </c>
      <c r="C268" s="20">
        <v>230000</v>
      </c>
      <c r="D268" s="20"/>
      <c r="E268" s="20"/>
    </row>
    <row r="269" spans="1:5">
      <c r="A269" s="20">
        <v>257</v>
      </c>
      <c r="B269" s="20" t="s">
        <v>385</v>
      </c>
      <c r="C269" s="20">
        <v>206000</v>
      </c>
      <c r="D269" s="20"/>
      <c r="E269" s="20"/>
    </row>
    <row r="270" spans="1:5">
      <c r="A270" s="20">
        <v>258</v>
      </c>
      <c r="B270" s="20" t="s">
        <v>386</v>
      </c>
      <c r="C270" s="20">
        <v>204750</v>
      </c>
      <c r="D270" s="20"/>
      <c r="E270" s="20"/>
    </row>
    <row r="271" spans="1:5">
      <c r="A271" s="20">
        <v>259</v>
      </c>
      <c r="B271" s="20" t="s">
        <v>387</v>
      </c>
      <c r="C271" s="20">
        <v>204000</v>
      </c>
      <c r="D271" s="20"/>
      <c r="E271" s="20"/>
    </row>
    <row r="272" spans="1:5">
      <c r="A272" s="20">
        <v>260</v>
      </c>
      <c r="B272" s="20" t="s">
        <v>388</v>
      </c>
      <c r="C272" s="20">
        <v>200000</v>
      </c>
      <c r="D272" s="20"/>
      <c r="E272" s="20"/>
    </row>
    <row r="273" spans="1:5">
      <c r="A273" s="20">
        <v>261</v>
      </c>
      <c r="B273" s="20" t="s">
        <v>389</v>
      </c>
      <c r="C273" s="20">
        <v>200000</v>
      </c>
      <c r="D273" s="20"/>
      <c r="E273" s="20"/>
    </row>
    <row r="274" spans="1:5">
      <c r="A274" s="20">
        <v>262</v>
      </c>
      <c r="B274" s="20" t="s">
        <v>390</v>
      </c>
      <c r="C274" s="20">
        <v>200000</v>
      </c>
      <c r="D274" s="20"/>
      <c r="E274" s="20"/>
    </row>
    <row r="275" spans="1:5">
      <c r="A275" s="20">
        <v>263</v>
      </c>
      <c r="B275" s="20" t="s">
        <v>391</v>
      </c>
      <c r="C275" s="20">
        <v>7100000</v>
      </c>
      <c r="D275" s="20"/>
      <c r="E275" s="20"/>
    </row>
    <row r="276" spans="1:5">
      <c r="A276" s="20">
        <v>264</v>
      </c>
      <c r="B276" s="20" t="s">
        <v>392</v>
      </c>
      <c r="C276" s="20">
        <v>4103333</v>
      </c>
      <c r="D276" s="20"/>
      <c r="E276" s="20"/>
    </row>
    <row r="277" spans="1:5">
      <c r="A277" s="20">
        <v>265</v>
      </c>
      <c r="B277" s="20" t="s">
        <v>393</v>
      </c>
      <c r="C277" s="20">
        <v>3300000</v>
      </c>
      <c r="D277" s="20"/>
      <c r="E277" s="20"/>
    </row>
    <row r="278" spans="1:5">
      <c r="A278" s="20">
        <v>266</v>
      </c>
      <c r="B278" s="20" t="s">
        <v>394</v>
      </c>
      <c r="C278" s="20">
        <v>3300000</v>
      </c>
      <c r="D278" s="20"/>
      <c r="E278" s="20"/>
    </row>
    <row r="279" spans="1:5">
      <c r="A279" s="20">
        <v>267</v>
      </c>
      <c r="B279" s="20" t="s">
        <v>395</v>
      </c>
      <c r="C279" s="20">
        <v>3250000</v>
      </c>
      <c r="D279" s="20"/>
      <c r="E279" s="20"/>
    </row>
    <row r="280" spans="1:5">
      <c r="A280" s="20">
        <v>268</v>
      </c>
      <c r="B280" s="20" t="s">
        <v>396</v>
      </c>
      <c r="C280" s="20">
        <v>2025000</v>
      </c>
      <c r="D280" s="20"/>
      <c r="E280" s="20"/>
    </row>
    <row r="281" spans="1:5">
      <c r="A281" s="20">
        <v>269</v>
      </c>
      <c r="B281" s="20" t="s">
        <v>397</v>
      </c>
      <c r="C281" s="20">
        <v>1900000</v>
      </c>
      <c r="D281" s="20"/>
      <c r="E281" s="20"/>
    </row>
    <row r="282" spans="1:5">
      <c r="A282" s="20">
        <v>270</v>
      </c>
      <c r="B282" s="20" t="s">
        <v>398</v>
      </c>
      <c r="C282" s="20">
        <v>1800000</v>
      </c>
      <c r="D282" s="20"/>
      <c r="E282" s="20"/>
    </row>
    <row r="283" spans="1:5">
      <c r="A283" s="20">
        <v>271</v>
      </c>
      <c r="B283" s="20" t="s">
        <v>399</v>
      </c>
      <c r="C283" s="20">
        <v>1116667</v>
      </c>
      <c r="D283" s="20"/>
      <c r="E283" s="20"/>
    </row>
    <row r="284" spans="1:5">
      <c r="A284" s="20">
        <v>272</v>
      </c>
      <c r="B284" s="20" t="s">
        <v>400</v>
      </c>
      <c r="C284" s="20">
        <v>900000</v>
      </c>
      <c r="D284" s="20"/>
      <c r="E284" s="20"/>
    </row>
    <row r="285" spans="1:5">
      <c r="A285" s="20">
        <v>273</v>
      </c>
      <c r="B285" s="20" t="s">
        <v>401</v>
      </c>
      <c r="C285" s="20">
        <v>625000</v>
      </c>
      <c r="D285" s="20"/>
      <c r="E285" s="20"/>
    </row>
    <row r="286" spans="1:5">
      <c r="A286" s="20">
        <v>274</v>
      </c>
      <c r="B286" s="20" t="s">
        <v>402</v>
      </c>
      <c r="C286" s="20">
        <v>525000</v>
      </c>
      <c r="D286" s="20"/>
      <c r="E286" s="20"/>
    </row>
    <row r="287" spans="1:5">
      <c r="A287" s="20">
        <v>275</v>
      </c>
      <c r="B287" s="20" t="s">
        <v>403</v>
      </c>
      <c r="C287" s="20">
        <v>375000</v>
      </c>
      <c r="D287" s="20"/>
      <c r="E287" s="20"/>
    </row>
    <row r="288" spans="1:5">
      <c r="A288" s="20">
        <v>276</v>
      </c>
      <c r="B288" s="20" t="s">
        <v>404</v>
      </c>
      <c r="C288" s="20">
        <v>350000</v>
      </c>
      <c r="D288" s="20"/>
      <c r="E288" s="20"/>
    </row>
    <row r="289" spans="1:5">
      <c r="A289" s="20">
        <v>277</v>
      </c>
      <c r="B289" s="20" t="s">
        <v>405</v>
      </c>
      <c r="C289" s="20">
        <v>290000</v>
      </c>
      <c r="D289" s="20"/>
      <c r="E289" s="20"/>
    </row>
    <row r="290" spans="1:5">
      <c r="A290" s="20">
        <v>278</v>
      </c>
      <c r="B290" s="20" t="s">
        <v>406</v>
      </c>
      <c r="C290" s="20">
        <v>290000</v>
      </c>
      <c r="D290" s="20"/>
      <c r="E290" s="20"/>
    </row>
    <row r="291" spans="1:5">
      <c r="A291" s="20">
        <v>279</v>
      </c>
      <c r="B291" s="20" t="s">
        <v>407</v>
      </c>
      <c r="C291" s="20">
        <v>282500</v>
      </c>
      <c r="D291" s="20"/>
      <c r="E291" s="20"/>
    </row>
    <row r="292" spans="1:5">
      <c r="A292" s="20">
        <v>280</v>
      </c>
      <c r="B292" s="20" t="s">
        <v>408</v>
      </c>
      <c r="C292" s="20">
        <v>267500</v>
      </c>
      <c r="D292" s="20"/>
      <c r="E292" s="20"/>
    </row>
    <row r="293" spans="1:5">
      <c r="A293" s="20">
        <v>281</v>
      </c>
      <c r="B293" s="20" t="s">
        <v>409</v>
      </c>
      <c r="C293" s="20">
        <v>245000</v>
      </c>
      <c r="D293" s="20"/>
      <c r="E293" s="20"/>
    </row>
    <row r="294" spans="1:5">
      <c r="A294" s="20">
        <v>282</v>
      </c>
      <c r="B294" s="20" t="s">
        <v>410</v>
      </c>
      <c r="C294" s="20">
        <v>240750</v>
      </c>
      <c r="D294" s="20"/>
      <c r="E294" s="20"/>
    </row>
    <row r="295" spans="1:5">
      <c r="A295" s="20">
        <v>283</v>
      </c>
      <c r="B295" s="20" t="s">
        <v>411</v>
      </c>
      <c r="C295" s="20">
        <v>240000</v>
      </c>
      <c r="D295" s="20"/>
      <c r="E295" s="20"/>
    </row>
    <row r="296" spans="1:5">
      <c r="A296" s="20">
        <v>284</v>
      </c>
      <c r="B296" s="20" t="s">
        <v>412</v>
      </c>
      <c r="C296" s="20">
        <v>232500</v>
      </c>
      <c r="D296" s="20"/>
      <c r="E296" s="20"/>
    </row>
    <row r="297" spans="1:5">
      <c r="A297" s="20">
        <v>285</v>
      </c>
      <c r="B297" s="20" t="s">
        <v>413</v>
      </c>
      <c r="C297" s="20">
        <v>225000</v>
      </c>
      <c r="D297" s="20"/>
      <c r="E297" s="20"/>
    </row>
    <row r="298" spans="1:5">
      <c r="A298" s="20">
        <v>286</v>
      </c>
      <c r="B298" s="20" t="s">
        <v>414</v>
      </c>
      <c r="C298" s="20">
        <v>217500</v>
      </c>
      <c r="D298" s="20"/>
      <c r="E298" s="20"/>
    </row>
    <row r="299" spans="1:5">
      <c r="A299" s="20">
        <v>287</v>
      </c>
      <c r="B299" s="20" t="s">
        <v>415</v>
      </c>
      <c r="C299" s="20">
        <v>205000</v>
      </c>
      <c r="D299" s="20"/>
      <c r="E299" s="20"/>
    </row>
    <row r="300" spans="1:5">
      <c r="A300" s="20">
        <v>288</v>
      </c>
      <c r="B300" s="20" t="s">
        <v>416</v>
      </c>
      <c r="C300" s="20">
        <v>204000</v>
      </c>
      <c r="D300" s="20"/>
      <c r="E300" s="20"/>
    </row>
    <row r="301" spans="1:5">
      <c r="A301" s="20">
        <v>289</v>
      </c>
      <c r="B301" s="20" t="s">
        <v>417</v>
      </c>
      <c r="C301" s="20">
        <v>201000</v>
      </c>
      <c r="D301" s="20"/>
      <c r="E301" s="20"/>
    </row>
    <row r="302" spans="1:5">
      <c r="A302" s="20">
        <v>290</v>
      </c>
      <c r="B302" s="20" t="s">
        <v>418</v>
      </c>
      <c r="C302" s="20">
        <v>7500000</v>
      </c>
      <c r="D302" s="20"/>
      <c r="E302" s="20"/>
    </row>
    <row r="303" spans="1:5">
      <c r="A303" s="20">
        <v>291</v>
      </c>
      <c r="B303" s="20" t="s">
        <v>419</v>
      </c>
      <c r="C303" s="20">
        <v>6700000</v>
      </c>
      <c r="D303" s="20"/>
      <c r="E303" s="20"/>
    </row>
    <row r="304" spans="1:5">
      <c r="A304" s="20">
        <v>292</v>
      </c>
      <c r="B304" s="20" t="s">
        <v>420</v>
      </c>
      <c r="C304" s="20">
        <v>6500000</v>
      </c>
      <c r="D304" s="20"/>
      <c r="E304" s="20"/>
    </row>
    <row r="305" spans="1:5">
      <c r="A305" s="20">
        <v>293</v>
      </c>
      <c r="B305" s="20" t="s">
        <v>421</v>
      </c>
      <c r="C305" s="20">
        <v>5695000</v>
      </c>
      <c r="D305" s="20"/>
      <c r="E305" s="20"/>
    </row>
    <row r="306" spans="1:5">
      <c r="A306" s="20">
        <v>294</v>
      </c>
      <c r="B306" s="20" t="s">
        <v>422</v>
      </c>
      <c r="C306" s="20">
        <v>5500000</v>
      </c>
      <c r="D306" s="20"/>
      <c r="E306" s="20"/>
    </row>
    <row r="307" spans="1:5">
      <c r="A307" s="20">
        <v>295</v>
      </c>
      <c r="B307" s="20" t="s">
        <v>423</v>
      </c>
      <c r="C307" s="20">
        <v>5070000</v>
      </c>
      <c r="D307" s="20"/>
      <c r="E307" s="20"/>
    </row>
    <row r="308" spans="1:5">
      <c r="A308" s="20">
        <v>296</v>
      </c>
      <c r="B308" s="20" t="s">
        <v>424</v>
      </c>
      <c r="C308" s="20">
        <v>5000000</v>
      </c>
      <c r="D308" s="20"/>
      <c r="E308" s="20"/>
    </row>
    <row r="309" spans="1:5">
      <c r="A309" s="20">
        <v>297</v>
      </c>
      <c r="B309" s="20" t="s">
        <v>425</v>
      </c>
      <c r="C309" s="20">
        <v>4400000</v>
      </c>
      <c r="D309" s="20"/>
      <c r="E309" s="20"/>
    </row>
    <row r="310" spans="1:5">
      <c r="A310" s="20">
        <v>298</v>
      </c>
      <c r="B310" s="20" t="s">
        <v>426</v>
      </c>
      <c r="C310" s="20">
        <v>3416667</v>
      </c>
      <c r="D310" s="20"/>
      <c r="E310" s="20"/>
    </row>
    <row r="311" spans="1:5">
      <c r="A311" s="20">
        <v>299</v>
      </c>
      <c r="B311" s="20" t="s">
        <v>427</v>
      </c>
      <c r="C311" s="20">
        <v>3333333</v>
      </c>
      <c r="D311" s="20"/>
      <c r="E311" s="20"/>
    </row>
    <row r="312" spans="1:5">
      <c r="A312" s="20">
        <v>300</v>
      </c>
      <c r="B312" s="20" t="s">
        <v>428</v>
      </c>
      <c r="C312" s="20">
        <v>3250000</v>
      </c>
      <c r="D312" s="20"/>
      <c r="E312" s="20"/>
    </row>
    <row r="313" spans="1:5">
      <c r="A313" s="20">
        <v>301</v>
      </c>
      <c r="B313" s="20" t="s">
        <v>429</v>
      </c>
      <c r="C313" s="20">
        <v>3250000</v>
      </c>
      <c r="D313" s="20"/>
      <c r="E313" s="20"/>
    </row>
    <row r="314" spans="1:5">
      <c r="A314" s="20">
        <v>302</v>
      </c>
      <c r="B314" s="20" t="s">
        <v>430</v>
      </c>
      <c r="C314" s="20">
        <v>2200000</v>
      </c>
      <c r="D314" s="20"/>
      <c r="E314" s="20"/>
    </row>
    <row r="315" spans="1:5">
      <c r="A315" s="20">
        <v>303</v>
      </c>
      <c r="B315" s="20" t="s">
        <v>431</v>
      </c>
      <c r="C315" s="20">
        <v>2000000</v>
      </c>
      <c r="D315" s="20"/>
      <c r="E315" s="20"/>
    </row>
    <row r="316" spans="1:5">
      <c r="A316" s="20">
        <v>304</v>
      </c>
      <c r="B316" s="20" t="s">
        <v>432</v>
      </c>
      <c r="C316" s="20">
        <v>1850000</v>
      </c>
      <c r="D316" s="20"/>
      <c r="E316" s="20"/>
    </row>
    <row r="317" spans="1:5">
      <c r="A317" s="20">
        <v>305</v>
      </c>
      <c r="B317" s="20" t="s">
        <v>433</v>
      </c>
      <c r="C317" s="20">
        <v>1700000</v>
      </c>
      <c r="D317" s="20"/>
      <c r="E317" s="20"/>
    </row>
    <row r="318" spans="1:5">
      <c r="A318" s="20">
        <v>306</v>
      </c>
      <c r="B318" s="20" t="s">
        <v>434</v>
      </c>
      <c r="C318" s="20">
        <v>1700000</v>
      </c>
      <c r="D318" s="20"/>
      <c r="E318" s="20"/>
    </row>
    <row r="319" spans="1:5">
      <c r="A319" s="20">
        <v>307</v>
      </c>
      <c r="B319" s="20" t="s">
        <v>435</v>
      </c>
      <c r="C319" s="20">
        <v>1500000</v>
      </c>
      <c r="D319" s="20"/>
      <c r="E319" s="20"/>
    </row>
    <row r="320" spans="1:5">
      <c r="A320" s="20">
        <v>308</v>
      </c>
      <c r="B320" s="20" t="s">
        <v>436</v>
      </c>
      <c r="C320" s="20">
        <v>1100000</v>
      </c>
      <c r="D320" s="20"/>
      <c r="E320" s="20"/>
    </row>
    <row r="321" spans="1:5">
      <c r="A321" s="20">
        <v>309</v>
      </c>
      <c r="B321" s="20" t="s">
        <v>437</v>
      </c>
      <c r="C321" s="20">
        <v>1100000</v>
      </c>
      <c r="D321" s="20"/>
      <c r="E321" s="20"/>
    </row>
    <row r="322" spans="1:5">
      <c r="A322" s="20">
        <v>310</v>
      </c>
      <c r="B322" s="20" t="s">
        <v>438</v>
      </c>
      <c r="C322" s="20">
        <v>837500</v>
      </c>
      <c r="D322" s="20"/>
      <c r="E322" s="20"/>
    </row>
    <row r="323" spans="1:5">
      <c r="A323" s="20">
        <v>311</v>
      </c>
      <c r="B323" s="20" t="s">
        <v>439</v>
      </c>
      <c r="C323" s="20">
        <v>425000</v>
      </c>
      <c r="D323" s="20"/>
      <c r="E323" s="20"/>
    </row>
    <row r="324" spans="1:5">
      <c r="A324" s="20">
        <v>312</v>
      </c>
      <c r="B324" s="20" t="s">
        <v>440</v>
      </c>
      <c r="C324" s="20">
        <v>425000</v>
      </c>
      <c r="D324" s="20"/>
      <c r="E324" s="20"/>
    </row>
    <row r="325" spans="1:5">
      <c r="A325" s="20">
        <v>313</v>
      </c>
      <c r="B325" s="20" t="s">
        <v>441</v>
      </c>
      <c r="C325" s="20">
        <v>285000</v>
      </c>
      <c r="D325" s="20"/>
      <c r="E325" s="20"/>
    </row>
    <row r="326" spans="1:5">
      <c r="A326" s="20">
        <v>314</v>
      </c>
      <c r="B326" s="20" t="s">
        <v>442</v>
      </c>
      <c r="C326" s="20">
        <v>275000</v>
      </c>
      <c r="D326" s="20"/>
      <c r="E326" s="20"/>
    </row>
    <row r="327" spans="1:5">
      <c r="A327" s="20">
        <v>315</v>
      </c>
      <c r="B327" s="20" t="s">
        <v>443</v>
      </c>
      <c r="C327" s="20">
        <v>235000</v>
      </c>
      <c r="D327" s="20"/>
      <c r="E327" s="20"/>
    </row>
    <row r="328" spans="1:5">
      <c r="A328" s="20">
        <v>316</v>
      </c>
      <c r="B328" s="20" t="s">
        <v>444</v>
      </c>
      <c r="C328" s="20">
        <v>202500</v>
      </c>
      <c r="D328" s="20"/>
      <c r="E328" s="20"/>
    </row>
    <row r="329" spans="1:5">
      <c r="A329" s="20">
        <v>317</v>
      </c>
      <c r="B329" s="20" t="s">
        <v>445</v>
      </c>
      <c r="C329" s="20">
        <v>202500</v>
      </c>
      <c r="D329" s="20"/>
      <c r="E329" s="20"/>
    </row>
    <row r="330" spans="1:5">
      <c r="A330" s="20">
        <v>318</v>
      </c>
      <c r="B330" s="20" t="s">
        <v>446</v>
      </c>
      <c r="C330" s="20">
        <v>9000000</v>
      </c>
      <c r="D330" s="20"/>
      <c r="E330" s="20"/>
    </row>
    <row r="331" spans="1:5">
      <c r="A331" s="20">
        <v>319</v>
      </c>
      <c r="B331" s="20" t="s">
        <v>447</v>
      </c>
      <c r="C331" s="20">
        <v>7479409</v>
      </c>
      <c r="D331" s="20"/>
      <c r="E331" s="20"/>
    </row>
    <row r="332" spans="1:5">
      <c r="A332" s="20">
        <v>320</v>
      </c>
      <c r="B332" s="20" t="s">
        <v>448</v>
      </c>
      <c r="C332" s="20">
        <v>7250000</v>
      </c>
      <c r="D332" s="20"/>
      <c r="E332" s="20"/>
    </row>
    <row r="333" spans="1:5">
      <c r="A333" s="20">
        <v>321</v>
      </c>
      <c r="B333" s="20" t="s">
        <v>449</v>
      </c>
      <c r="C333" s="20">
        <v>5973991</v>
      </c>
      <c r="D333" s="20"/>
      <c r="E333" s="20"/>
    </row>
    <row r="334" spans="1:5">
      <c r="A334" s="20">
        <v>322</v>
      </c>
      <c r="B334" s="20" t="s">
        <v>450</v>
      </c>
      <c r="C334" s="20">
        <v>5620316</v>
      </c>
      <c r="D334" s="20"/>
      <c r="E334" s="20"/>
    </row>
    <row r="335" spans="1:5">
      <c r="A335" s="20">
        <v>323</v>
      </c>
      <c r="B335" s="20" t="s">
        <v>451</v>
      </c>
      <c r="C335" s="20">
        <v>2975000</v>
      </c>
      <c r="D335" s="20"/>
      <c r="E335" s="20"/>
    </row>
    <row r="336" spans="1:5">
      <c r="A336" s="20">
        <v>324</v>
      </c>
      <c r="B336" s="20" t="s">
        <v>452</v>
      </c>
      <c r="C336" s="20">
        <v>2873439</v>
      </c>
      <c r="D336" s="20"/>
      <c r="E336" s="20"/>
    </row>
    <row r="337" spans="1:5">
      <c r="A337" s="20">
        <v>325</v>
      </c>
      <c r="B337" s="20" t="s">
        <v>453</v>
      </c>
      <c r="C337" s="20">
        <v>2750000</v>
      </c>
      <c r="D337" s="20"/>
      <c r="E337" s="20"/>
    </row>
    <row r="338" spans="1:5">
      <c r="A338" s="20">
        <v>326</v>
      </c>
      <c r="B338" s="20" t="s">
        <v>454</v>
      </c>
      <c r="C338" s="20">
        <v>2724447</v>
      </c>
      <c r="D338" s="20"/>
      <c r="E338" s="20"/>
    </row>
    <row r="339" spans="1:5">
      <c r="A339" s="20">
        <v>327</v>
      </c>
      <c r="B339" s="20" t="s">
        <v>455</v>
      </c>
      <c r="C339" s="20">
        <v>1400000</v>
      </c>
      <c r="D339" s="20"/>
      <c r="E339" s="20"/>
    </row>
    <row r="340" spans="1:5">
      <c r="A340" s="20">
        <v>328</v>
      </c>
      <c r="B340" s="20" t="s">
        <v>456</v>
      </c>
      <c r="C340" s="20">
        <v>975000</v>
      </c>
      <c r="D340" s="20"/>
      <c r="E340" s="20"/>
    </row>
    <row r="341" spans="1:5">
      <c r="A341" s="20">
        <v>329</v>
      </c>
      <c r="B341" s="20" t="s">
        <v>457</v>
      </c>
      <c r="C341" s="20">
        <v>835000</v>
      </c>
      <c r="D341" s="20"/>
      <c r="E341" s="20"/>
    </row>
    <row r="342" spans="1:5">
      <c r="A342" s="20">
        <v>330</v>
      </c>
      <c r="B342" s="20" t="s">
        <v>458</v>
      </c>
      <c r="C342" s="20">
        <v>750000</v>
      </c>
      <c r="D342" s="20"/>
      <c r="E342" s="20"/>
    </row>
    <row r="343" spans="1:5">
      <c r="A343" s="20">
        <v>331</v>
      </c>
      <c r="B343" s="20" t="s">
        <v>459</v>
      </c>
      <c r="C343" s="20">
        <v>700000</v>
      </c>
      <c r="D343" s="20"/>
      <c r="E343" s="20"/>
    </row>
    <row r="344" spans="1:5">
      <c r="A344" s="20">
        <v>332</v>
      </c>
      <c r="B344" s="20" t="s">
        <v>460</v>
      </c>
      <c r="C344" s="20">
        <v>650000</v>
      </c>
      <c r="D344" s="20"/>
      <c r="E344" s="20"/>
    </row>
    <row r="345" spans="1:5">
      <c r="A345" s="20">
        <v>333</v>
      </c>
      <c r="B345" s="20" t="s">
        <v>461</v>
      </c>
      <c r="C345" s="20">
        <v>350000</v>
      </c>
      <c r="D345" s="20"/>
      <c r="E345" s="20"/>
    </row>
    <row r="346" spans="1:5">
      <c r="A346" s="20">
        <v>334</v>
      </c>
      <c r="B346" s="20" t="s">
        <v>462</v>
      </c>
      <c r="C346" s="20">
        <v>270000</v>
      </c>
      <c r="D346" s="20"/>
      <c r="E346" s="20"/>
    </row>
    <row r="347" spans="1:5">
      <c r="A347" s="20">
        <v>335</v>
      </c>
      <c r="B347" s="20" t="s">
        <v>463</v>
      </c>
      <c r="C347" s="20">
        <v>260000</v>
      </c>
      <c r="D347" s="20"/>
      <c r="E347" s="20"/>
    </row>
    <row r="348" spans="1:5">
      <c r="A348" s="20">
        <v>336</v>
      </c>
      <c r="B348" s="20" t="s">
        <v>464</v>
      </c>
      <c r="C348" s="20">
        <v>260000</v>
      </c>
      <c r="D348" s="20"/>
      <c r="E348" s="20"/>
    </row>
    <row r="349" spans="1:5">
      <c r="A349" s="20">
        <v>337</v>
      </c>
      <c r="B349" s="20" t="s">
        <v>465</v>
      </c>
      <c r="C349" s="20">
        <v>255000</v>
      </c>
      <c r="D349" s="20"/>
      <c r="E349" s="20"/>
    </row>
    <row r="350" spans="1:5">
      <c r="A350" s="20">
        <v>338</v>
      </c>
      <c r="B350" s="20" t="s">
        <v>466</v>
      </c>
      <c r="C350" s="20">
        <v>255000</v>
      </c>
      <c r="D350" s="20"/>
      <c r="E350" s="20"/>
    </row>
    <row r="351" spans="1:5">
      <c r="A351" s="20">
        <v>339</v>
      </c>
      <c r="B351" s="20" t="s">
        <v>467</v>
      </c>
      <c r="C351" s="20">
        <v>255000</v>
      </c>
      <c r="D351" s="20"/>
      <c r="E351" s="20"/>
    </row>
    <row r="352" spans="1:5">
      <c r="A352" s="20">
        <v>340</v>
      </c>
      <c r="B352" s="20" t="s">
        <v>468</v>
      </c>
      <c r="C352" s="20">
        <v>242500</v>
      </c>
      <c r="D352" s="20"/>
      <c r="E352" s="20"/>
    </row>
    <row r="353" spans="1:5">
      <c r="A353" s="20">
        <v>341</v>
      </c>
      <c r="B353" s="20" t="s">
        <v>469</v>
      </c>
      <c r="C353" s="20">
        <v>237500</v>
      </c>
      <c r="D353" s="20"/>
      <c r="E353" s="20"/>
    </row>
    <row r="354" spans="1:5">
      <c r="A354" s="20">
        <v>342</v>
      </c>
      <c r="B354" s="20" t="s">
        <v>470</v>
      </c>
      <c r="C354" s="20">
        <v>208000</v>
      </c>
      <c r="D354" s="20"/>
      <c r="E354" s="20"/>
    </row>
    <row r="355" spans="1:5">
      <c r="A355" s="20">
        <v>343</v>
      </c>
      <c r="B355" s="20" t="s">
        <v>471</v>
      </c>
      <c r="C355" s="20">
        <v>202000</v>
      </c>
      <c r="D355" s="20"/>
      <c r="E355" s="20"/>
    </row>
    <row r="356" spans="1:5">
      <c r="A356" s="20">
        <v>344</v>
      </c>
      <c r="B356" s="20" t="s">
        <v>472</v>
      </c>
      <c r="C356" s="20">
        <v>200000</v>
      </c>
      <c r="D356" s="20"/>
      <c r="E356" s="20"/>
    </row>
    <row r="357" spans="1:5">
      <c r="A357" s="20">
        <v>345</v>
      </c>
      <c r="B357" s="20" t="s">
        <v>473</v>
      </c>
      <c r="C357" s="20">
        <v>22000000</v>
      </c>
      <c r="D357" s="20"/>
      <c r="E357" s="20"/>
    </row>
    <row r="358" spans="1:5">
      <c r="A358" s="20">
        <v>346</v>
      </c>
      <c r="B358" s="20" t="s">
        <v>474</v>
      </c>
      <c r="C358" s="20">
        <v>8620921</v>
      </c>
      <c r="D358" s="20"/>
      <c r="E358" s="20"/>
    </row>
    <row r="359" spans="1:5">
      <c r="A359" s="20">
        <v>347</v>
      </c>
      <c r="B359" s="20" t="s">
        <v>475</v>
      </c>
      <c r="C359" s="20">
        <v>8600000</v>
      </c>
      <c r="D359" s="20"/>
      <c r="E359" s="20"/>
    </row>
    <row r="360" spans="1:5">
      <c r="A360" s="20">
        <v>348</v>
      </c>
      <c r="B360" s="20" t="s">
        <v>476</v>
      </c>
      <c r="C360" s="20">
        <v>7500000</v>
      </c>
      <c r="D360" s="20"/>
      <c r="E360" s="20"/>
    </row>
    <row r="361" spans="1:5">
      <c r="A361" s="20">
        <v>349</v>
      </c>
      <c r="B361" s="20" t="s">
        <v>477</v>
      </c>
      <c r="C361" s="20">
        <v>7000000</v>
      </c>
      <c r="D361" s="20"/>
      <c r="E361" s="20"/>
    </row>
    <row r="362" spans="1:5">
      <c r="A362" s="20">
        <v>350</v>
      </c>
      <c r="B362" s="20" t="s">
        <v>478</v>
      </c>
      <c r="C362" s="20">
        <v>6000000</v>
      </c>
      <c r="D362" s="20"/>
      <c r="E362" s="20"/>
    </row>
    <row r="363" spans="1:5">
      <c r="A363" s="20">
        <v>351</v>
      </c>
      <c r="B363" s="20" t="s">
        <v>479</v>
      </c>
      <c r="C363" s="20">
        <v>4500000</v>
      </c>
      <c r="D363" s="20"/>
      <c r="E363" s="20"/>
    </row>
    <row r="364" spans="1:5">
      <c r="A364" s="20">
        <v>352</v>
      </c>
      <c r="B364" s="20" t="s">
        <v>480</v>
      </c>
      <c r="C364" s="20">
        <v>4500000</v>
      </c>
      <c r="D364" s="20"/>
      <c r="E364" s="20"/>
    </row>
    <row r="365" spans="1:5">
      <c r="A365" s="20">
        <v>353</v>
      </c>
      <c r="B365" s="20" t="s">
        <v>481</v>
      </c>
      <c r="C365" s="20">
        <v>3250000</v>
      </c>
      <c r="D365" s="20"/>
      <c r="E365" s="20"/>
    </row>
    <row r="366" spans="1:5">
      <c r="A366" s="20">
        <v>354</v>
      </c>
      <c r="B366" s="20" t="s">
        <v>482</v>
      </c>
      <c r="C366" s="20">
        <v>3150000</v>
      </c>
      <c r="D366" s="20"/>
      <c r="E366" s="20"/>
    </row>
    <row r="367" spans="1:5">
      <c r="A367" s="20">
        <v>355</v>
      </c>
      <c r="B367" s="20" t="s">
        <v>483</v>
      </c>
      <c r="C367" s="20">
        <v>2050000</v>
      </c>
      <c r="D367" s="20"/>
      <c r="E367" s="20"/>
    </row>
    <row r="368" spans="1:5">
      <c r="A368" s="20">
        <v>356</v>
      </c>
      <c r="B368" s="20" t="s">
        <v>484</v>
      </c>
      <c r="C368" s="20">
        <v>2000000</v>
      </c>
      <c r="D368" s="20"/>
      <c r="E368" s="20"/>
    </row>
    <row r="369" spans="1:5">
      <c r="A369" s="20">
        <v>357</v>
      </c>
      <c r="B369" s="20" t="s">
        <v>485</v>
      </c>
      <c r="C369" s="20">
        <v>1420000</v>
      </c>
      <c r="D369" s="20"/>
      <c r="E369" s="20"/>
    </row>
    <row r="370" spans="1:5">
      <c r="A370" s="20">
        <v>358</v>
      </c>
      <c r="B370" s="20" t="s">
        <v>486</v>
      </c>
      <c r="C370" s="20">
        <v>1400000</v>
      </c>
      <c r="D370" s="20"/>
      <c r="E370" s="20"/>
    </row>
    <row r="371" spans="1:5">
      <c r="A371" s="20">
        <v>359</v>
      </c>
      <c r="B371" s="20" t="s">
        <v>487</v>
      </c>
      <c r="C371" s="20">
        <v>850000</v>
      </c>
      <c r="D371" s="20"/>
      <c r="E371" s="20"/>
    </row>
    <row r="372" spans="1:5">
      <c r="A372" s="20">
        <v>360</v>
      </c>
      <c r="B372" s="20" t="s">
        <v>488</v>
      </c>
      <c r="C372" s="20">
        <v>800000</v>
      </c>
      <c r="D372" s="20"/>
      <c r="E372" s="20"/>
    </row>
    <row r="373" spans="1:5">
      <c r="A373" s="20">
        <v>361</v>
      </c>
      <c r="B373" s="20" t="s">
        <v>489</v>
      </c>
      <c r="C373" s="20">
        <v>650000</v>
      </c>
      <c r="D373" s="20"/>
      <c r="E373" s="20"/>
    </row>
    <row r="374" spans="1:5">
      <c r="A374" s="20">
        <v>362</v>
      </c>
      <c r="B374" s="20" t="s">
        <v>490</v>
      </c>
      <c r="C374" s="20">
        <v>500000</v>
      </c>
      <c r="D374" s="20"/>
      <c r="E374" s="20"/>
    </row>
    <row r="375" spans="1:5">
      <c r="A375" s="20">
        <v>363</v>
      </c>
      <c r="B375" s="20" t="s">
        <v>491</v>
      </c>
      <c r="C375" s="20">
        <v>450000</v>
      </c>
      <c r="D375" s="20"/>
      <c r="E375" s="20"/>
    </row>
    <row r="376" spans="1:5">
      <c r="A376" s="20">
        <v>364</v>
      </c>
      <c r="B376" s="20" t="s">
        <v>492</v>
      </c>
      <c r="C376" s="20">
        <v>406500</v>
      </c>
      <c r="D376" s="20"/>
      <c r="E376" s="20"/>
    </row>
    <row r="377" spans="1:5">
      <c r="A377" s="20">
        <v>365</v>
      </c>
      <c r="B377" s="20" t="s">
        <v>493</v>
      </c>
      <c r="C377" s="20">
        <v>310000</v>
      </c>
      <c r="D377" s="20"/>
      <c r="E377" s="20"/>
    </row>
    <row r="378" spans="1:5">
      <c r="A378" s="20">
        <v>366</v>
      </c>
      <c r="B378" s="20" t="s">
        <v>494</v>
      </c>
      <c r="C378" s="20">
        <v>307500</v>
      </c>
      <c r="D378" s="20"/>
      <c r="E378" s="20"/>
    </row>
    <row r="379" spans="1:5">
      <c r="A379" s="20">
        <v>367</v>
      </c>
      <c r="B379" s="20" t="s">
        <v>495</v>
      </c>
      <c r="C379" s="20">
        <v>300000</v>
      </c>
      <c r="D379" s="20"/>
      <c r="E379" s="20"/>
    </row>
    <row r="380" spans="1:5">
      <c r="A380" s="20">
        <v>368</v>
      </c>
      <c r="B380" s="20" t="s">
        <v>496</v>
      </c>
      <c r="C380" s="20">
        <v>295000</v>
      </c>
      <c r="D380" s="20"/>
      <c r="E380" s="20"/>
    </row>
    <row r="381" spans="1:5">
      <c r="A381" s="20">
        <v>369</v>
      </c>
      <c r="B381" s="20" t="s">
        <v>497</v>
      </c>
      <c r="C381" s="20">
        <v>277500</v>
      </c>
      <c r="D381" s="20"/>
      <c r="E381" s="20"/>
    </row>
    <row r="382" spans="1:5">
      <c r="A382" s="20">
        <v>370</v>
      </c>
      <c r="B382" s="20" t="s">
        <v>498</v>
      </c>
      <c r="C382" s="20">
        <v>265000</v>
      </c>
      <c r="D382" s="20"/>
      <c r="E382" s="20"/>
    </row>
    <row r="383" spans="1:5">
      <c r="A383" s="20">
        <v>371</v>
      </c>
      <c r="B383" s="20" t="s">
        <v>499</v>
      </c>
      <c r="C383" s="20">
        <v>250000</v>
      </c>
      <c r="D383" s="20"/>
      <c r="E383" s="20"/>
    </row>
    <row r="384" spans="1:5">
      <c r="A384" s="20">
        <v>372</v>
      </c>
      <c r="B384" s="20" t="s">
        <v>500</v>
      </c>
      <c r="C384" s="20">
        <v>240000</v>
      </c>
      <c r="D384" s="20"/>
      <c r="E384" s="20"/>
    </row>
    <row r="385" spans="1:5">
      <c r="A385" s="20">
        <v>373</v>
      </c>
      <c r="B385" s="20" t="s">
        <v>501</v>
      </c>
      <c r="C385" s="20">
        <v>207000</v>
      </c>
      <c r="D385" s="20"/>
      <c r="E385" s="20"/>
    </row>
    <row r="386" spans="1:5">
      <c r="A386" s="20">
        <v>374</v>
      </c>
      <c r="B386" s="20" t="s">
        <v>502</v>
      </c>
      <c r="C386" s="20">
        <v>202500</v>
      </c>
      <c r="D386" s="20"/>
      <c r="E386" s="20"/>
    </row>
    <row r="387" spans="1:5">
      <c r="A387" s="20">
        <v>375</v>
      </c>
      <c r="B387" s="20" t="s">
        <v>503</v>
      </c>
      <c r="C387" s="20">
        <v>202500</v>
      </c>
      <c r="D387" s="20"/>
      <c r="E387" s="20"/>
    </row>
    <row r="388" spans="1:5">
      <c r="A388" s="20">
        <v>376</v>
      </c>
      <c r="B388" s="20" t="s">
        <v>504</v>
      </c>
      <c r="C388" s="20">
        <v>12200000</v>
      </c>
      <c r="D388" s="20"/>
      <c r="E388" s="20"/>
    </row>
    <row r="389" spans="1:5">
      <c r="A389" s="20">
        <v>377</v>
      </c>
      <c r="B389" s="20" t="s">
        <v>505</v>
      </c>
      <c r="C389" s="20">
        <v>11500000</v>
      </c>
      <c r="D389" s="20"/>
      <c r="E389" s="20"/>
    </row>
    <row r="390" spans="1:5">
      <c r="A390" s="20">
        <v>378</v>
      </c>
      <c r="B390" s="20" t="s">
        <v>506</v>
      </c>
      <c r="C390" s="20">
        <v>7250000</v>
      </c>
      <c r="D390" s="20"/>
      <c r="E390" s="20"/>
    </row>
    <row r="391" spans="1:5">
      <c r="A391" s="20">
        <v>379</v>
      </c>
      <c r="B391" s="20" t="s">
        <v>507</v>
      </c>
      <c r="C391" s="20">
        <v>4250000</v>
      </c>
      <c r="D391" s="20"/>
      <c r="E391" s="20"/>
    </row>
    <row r="392" spans="1:5">
      <c r="A392" s="20">
        <v>380</v>
      </c>
      <c r="B392" s="20" t="s">
        <v>508</v>
      </c>
      <c r="C392" s="20">
        <v>3525000</v>
      </c>
      <c r="D392" s="20"/>
      <c r="E392" s="20"/>
    </row>
    <row r="393" spans="1:5">
      <c r="A393" s="20">
        <v>381</v>
      </c>
      <c r="B393" s="20" t="s">
        <v>509</v>
      </c>
      <c r="C393" s="20">
        <v>3300000</v>
      </c>
      <c r="D393" s="20"/>
      <c r="E393" s="20"/>
    </row>
    <row r="394" spans="1:5">
      <c r="A394" s="20">
        <v>382</v>
      </c>
      <c r="B394" s="20" t="s">
        <v>510</v>
      </c>
      <c r="C394" s="20">
        <v>3000000</v>
      </c>
      <c r="D394" s="20"/>
      <c r="E394" s="20"/>
    </row>
    <row r="395" spans="1:5">
      <c r="A395" s="20">
        <v>383</v>
      </c>
      <c r="B395" s="20" t="s">
        <v>511</v>
      </c>
      <c r="C395" s="20">
        <v>2583333</v>
      </c>
      <c r="D395" s="20"/>
      <c r="E395" s="20"/>
    </row>
    <row r="396" spans="1:5">
      <c r="A396" s="20">
        <v>384</v>
      </c>
      <c r="B396" s="20" t="s">
        <v>512</v>
      </c>
      <c r="C396" s="20">
        <v>2550000</v>
      </c>
      <c r="D396" s="20"/>
      <c r="E396" s="20"/>
    </row>
    <row r="397" spans="1:5">
      <c r="A397" s="20">
        <v>385</v>
      </c>
      <c r="B397" s="20" t="s">
        <v>513</v>
      </c>
      <c r="C397" s="20">
        <v>2500000</v>
      </c>
      <c r="D397" s="20"/>
      <c r="E397" s="20"/>
    </row>
    <row r="398" spans="1:5">
      <c r="A398" s="20">
        <v>386</v>
      </c>
      <c r="B398" s="20" t="s">
        <v>514</v>
      </c>
      <c r="C398" s="20">
        <v>2275000</v>
      </c>
      <c r="D398" s="20"/>
      <c r="E398" s="20"/>
    </row>
    <row r="399" spans="1:5">
      <c r="A399" s="20">
        <v>387</v>
      </c>
      <c r="B399" s="20" t="s">
        <v>515</v>
      </c>
      <c r="C399" s="20">
        <v>2200000</v>
      </c>
      <c r="D399" s="20"/>
      <c r="E399" s="20"/>
    </row>
    <row r="400" spans="1:5">
      <c r="A400" s="20">
        <v>388</v>
      </c>
      <c r="B400" s="20" t="s">
        <v>516</v>
      </c>
      <c r="C400" s="20">
        <v>2183333</v>
      </c>
      <c r="D400" s="20"/>
      <c r="E400" s="20"/>
    </row>
    <row r="401" spans="1:5">
      <c r="A401" s="20">
        <v>389</v>
      </c>
      <c r="B401" s="20" t="s">
        <v>517</v>
      </c>
      <c r="C401" s="20">
        <v>2100000</v>
      </c>
      <c r="D401" s="20"/>
      <c r="E401" s="20"/>
    </row>
    <row r="402" spans="1:5">
      <c r="A402" s="20">
        <v>390</v>
      </c>
      <c r="B402" s="20" t="s">
        <v>518</v>
      </c>
      <c r="C402" s="20">
        <v>1550000</v>
      </c>
      <c r="D402" s="20"/>
      <c r="E402" s="20"/>
    </row>
    <row r="403" spans="1:5">
      <c r="A403" s="20">
        <v>391</v>
      </c>
      <c r="B403" s="20" t="s">
        <v>519</v>
      </c>
      <c r="C403" s="20">
        <v>1500000</v>
      </c>
      <c r="D403" s="20"/>
      <c r="E403" s="20"/>
    </row>
    <row r="404" spans="1:5">
      <c r="A404" s="20">
        <v>392</v>
      </c>
      <c r="B404" s="20" t="s">
        <v>520</v>
      </c>
      <c r="C404" s="20">
        <v>1000000</v>
      </c>
      <c r="D404" s="20"/>
      <c r="E404" s="20"/>
    </row>
    <row r="405" spans="1:5">
      <c r="A405" s="20">
        <v>393</v>
      </c>
      <c r="B405" s="20" t="s">
        <v>521</v>
      </c>
      <c r="C405" s="20">
        <v>1000000</v>
      </c>
      <c r="D405" s="20"/>
      <c r="E405" s="20"/>
    </row>
    <row r="406" spans="1:5">
      <c r="A406" s="20">
        <v>394</v>
      </c>
      <c r="B406" s="20" t="s">
        <v>522</v>
      </c>
      <c r="C406" s="20">
        <v>733333</v>
      </c>
      <c r="D406" s="20"/>
      <c r="E406" s="20"/>
    </row>
    <row r="407" spans="1:5">
      <c r="A407" s="20">
        <v>395</v>
      </c>
      <c r="B407" s="20" t="s">
        <v>523</v>
      </c>
      <c r="C407" s="20">
        <v>725000</v>
      </c>
      <c r="D407" s="20"/>
      <c r="E407" s="20"/>
    </row>
    <row r="408" spans="1:5">
      <c r="A408" s="20">
        <v>396</v>
      </c>
      <c r="B408" s="20" t="s">
        <v>524</v>
      </c>
      <c r="C408" s="20">
        <v>225000</v>
      </c>
      <c r="D408" s="20"/>
      <c r="E408" s="20"/>
    </row>
    <row r="409" spans="1:5">
      <c r="A409" s="20">
        <v>397</v>
      </c>
      <c r="B409" s="20" t="s">
        <v>525</v>
      </c>
      <c r="C409" s="20">
        <v>223000</v>
      </c>
      <c r="D409" s="20"/>
      <c r="E409" s="20"/>
    </row>
    <row r="410" spans="1:5">
      <c r="A410" s="20">
        <v>398</v>
      </c>
      <c r="B410" s="20" t="s">
        <v>526</v>
      </c>
      <c r="C410" s="20">
        <v>223000</v>
      </c>
      <c r="D410" s="20"/>
      <c r="E410" s="20"/>
    </row>
    <row r="411" spans="1:5">
      <c r="A411" s="20">
        <v>399</v>
      </c>
      <c r="B411" s="20" t="s">
        <v>527</v>
      </c>
      <c r="C411" s="20">
        <v>202500</v>
      </c>
      <c r="D411" s="20"/>
      <c r="E411" s="20"/>
    </row>
    <row r="412" spans="1:5">
      <c r="A412" s="20">
        <v>400</v>
      </c>
      <c r="B412" s="20" t="s">
        <v>528</v>
      </c>
      <c r="C412" s="20">
        <v>200000</v>
      </c>
      <c r="D412" s="20"/>
      <c r="E412" s="20"/>
    </row>
    <row r="413" spans="1:5">
      <c r="A413" s="20">
        <v>401</v>
      </c>
      <c r="B413" s="20" t="s">
        <v>529</v>
      </c>
      <c r="C413" s="20">
        <v>200000</v>
      </c>
      <c r="D413" s="20"/>
      <c r="E41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 Vijaya Saradhi</cp:lastModifiedBy>
  <cp:revision/>
  <dcterms:created xsi:type="dcterms:W3CDTF">2023-08-29T14:50:35Z</dcterms:created>
  <dcterms:modified xsi:type="dcterms:W3CDTF">2023-10-26T03:43:16Z</dcterms:modified>
  <cp:category/>
  <cp:contentStatus/>
</cp:coreProperties>
</file>