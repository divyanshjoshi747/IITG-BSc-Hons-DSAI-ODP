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18"/>
  <workbookPr defaultThemeVersion="166925"/>
  <xr:revisionPtr revIDLastSave="50" documentId="11_E60897F41BE170836B02CE998F75CCDC64E183C8" xr6:coauthVersionLast="47" xr6:coauthVersionMax="47" xr10:uidLastSave="{D2035697-E76C-4152-AF12-A97B120013C7}"/>
  <bookViews>
    <workbookView xWindow="240" yWindow="105" windowWidth="14805" windowHeight="8010" firstSheet="3" activeTab="3" xr2:uid="{00000000-000D-0000-FFFF-FFFF00000000}"/>
  </bookViews>
  <sheets>
    <sheet name="name-one-cell" sheetId="1" r:id="rId1"/>
    <sheet name="name-group-of-cells" sheetId="2" r:id="rId2"/>
    <sheet name="Historical-Investment" sheetId="3" r:id="rId3"/>
    <sheet name="previous-cell" sheetId="4" r:id="rId4"/>
  </sheets>
  <definedNames>
    <definedName name="ak">'name-group-of-cells'!$B$7:$B$7</definedName>
    <definedName name="al">'name-group-of-cells'!$B$6:$B$6</definedName>
    <definedName name="ar">'name-group-of-cells'!$B$9:$B$9</definedName>
    <definedName name="az">'name-group-of-cells'!$B$8:$B$8</definedName>
    <definedName name="Bonds10">'Historical-Investment'!$D$2:$D$11</definedName>
    <definedName name="east">'name-one-cell'!$F$3:$F$3</definedName>
    <definedName name="grth">'previous-cell'!$B$3:$B$3</definedName>
    <definedName name="Stocks">'Historical-Investment'!$B$2:$B$11</definedName>
    <definedName name="Tbills">'Historical-Investment'!$C$2:$C$11</definedName>
    <definedName name="USStates">'name-group-of-cells'!$B$6:$B$55</definedName>
    <definedName name="west">'name-one-cell'!$F$4:$F$4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3" l="1"/>
  <c r="E7" i="3"/>
  <c r="E10" i="2" a="1"/>
  <c r="E10" i="2"/>
  <c r="F8" i="2"/>
  <c r="E8" i="2"/>
  <c r="H5" i="1"/>
  <c r="G5" i="1" a="1"/>
  <c r="G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<sst xmlns="http://schemas.openxmlformats.org/spreadsheetml/2006/main" count="73" uniqueCount="67">
  <si>
    <t>east</t>
  </si>
  <si>
    <t>west</t>
  </si>
  <si>
    <t>State</t>
  </si>
  <si>
    <t>March Sales</t>
  </si>
  <si>
    <t>AL</t>
  </si>
  <si>
    <t>AK</t>
  </si>
  <si>
    <t>with cells</t>
  </si>
  <si>
    <t>AZ</t>
  </si>
  <si>
    <t>with names</t>
  </si>
  <si>
    <t>AR</t>
  </si>
  <si>
    <t>CA</t>
  </si>
  <si>
    <t>Sales of AL, AK, AZ &amp; AR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</si>
  <si>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</si>
  <si>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</si>
  <si>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</si>
  <si>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</si>
  <si>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</si>
  <si>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</si>
  <si>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</si>
  <si>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</si>
  <si>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</si>
  <si>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</si>
  <si>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</si>
  <si>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</si>
  <si>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</si>
  <si>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</si>
  <si>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</si>
  <si>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</si>
  <si>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</si>
  <si>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</si>
  <si>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</si>
  <si>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</si>
  <si>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</si>
  <si>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</si>
  <si>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</si>
  <si>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</si>
  <si>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</si>
  <si>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</si>
  <si>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</si>
  <si>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</si>
  <si>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</si>
  <si>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</si>
  <si>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</si>
  <si>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</si>
  <si>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</si>
  <si>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</si>
  <si>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</si>
  <si>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</si>
  <si>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</si>
  <si>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</si>
  <si>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</si>
  <si>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</si>
  <si>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</si>
  <si>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</si>
  <si>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</si>
  <si>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</si>
  <si>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</si>
  <si>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Year</t>
  </si>
  <si>
    <t>Stocks</t>
  </si>
  <si>
    <t>Tbills</t>
  </si>
  <si>
    <t>Bonds10</t>
  </si>
  <si>
    <t>Average Stock Returns</t>
  </si>
  <si>
    <t>=AVERAGE(Stocks)</t>
  </si>
  <si>
    <t>Averate Bonds10</t>
  </si>
  <si>
    <t>growth</t>
  </si>
  <si>
    <t>revenue</t>
  </si>
  <si>
    <t>=lastyear*(1+grth)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</si>
</sst>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8">
    <font>
      <sz val="11"/>
      <color theme="1"/>
      <name val="Calibri"/>
      <family val="2"/>
      <scheme val="minor"/>
    </font>
    <font>
      <sz val="10"/>
      <color rgb="FF000000"/>
      <name val="Calibri"/>
      <charset val="1"/>
    </font>
    <font>
      <sz val="10"/>
      <color theme="1"/>
      <name val="Arial"/>
      <charset val="1"/>
    </font>
    <font>
      <b/>
      <i/>
      <sz val="12"/>
      <color theme="1"/>
      <name val="Calibri"/>
      <charset val="1"/>
    </font>
    <font>
      <sz val="10"/>
      <color theme="1"/>
      <name val="Calibri"/>
      <charset val="1"/>
    </font>
    <font>
      <b/>
      <sz val="12"/>
      <color theme="1"/>
      <name val="Calibri"/>
      <charset val="1"/>
    </font>
    <font>
      <b/>
      <sz val="10"/>
      <color rgb="FF000000"/>
      <name val="Calibri"/>
      <charset val="1"/>
    </font>
    <font>
      <b/>
      <sz val="10"/>
      <color theme="1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2" xfId="0" applyFont="1" applyBorder="1"/>
    <xf numFmtId="8" fontId="2" fillId="0" borderId="3" xfId="0" applyNumberFormat="1" applyFont="1" applyBorder="1"/>
    <xf numFmtId="0" fontId="0" fillId="0" borderId="4" xfId="0" applyBorder="1"/>
    <xf numFmtId="0" fontId="0" fillId="0" borderId="5" xfId="0" applyBorder="1"/>
    <xf numFmtId="164" fontId="0" fillId="0" borderId="6" xfId="0" applyNumberFormat="1" applyBorder="1"/>
    <xf numFmtId="0" fontId="0" fillId="0" borderId="7" xfId="0" applyBorder="1"/>
    <xf numFmtId="0" fontId="2" fillId="0" borderId="0" xfId="0" applyFont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8" fontId="2" fillId="0" borderId="12" xfId="0" applyNumberFormat="1" applyFont="1" applyBorder="1"/>
    <xf numFmtId="0" fontId="2" fillId="0" borderId="13" xfId="0" applyFont="1" applyBorder="1"/>
    <xf numFmtId="8" fontId="2" fillId="0" borderId="14" xfId="0" applyNumberFormat="1" applyFont="1" applyBorder="1"/>
    <xf numFmtId="0" fontId="2" fillId="0" borderId="15" xfId="0" applyFont="1" applyBorder="1"/>
    <xf numFmtId="8" fontId="2" fillId="0" borderId="16" xfId="0" applyNumberFormat="1" applyFont="1" applyBorder="1"/>
    <xf numFmtId="0" fontId="3" fillId="0" borderId="1" xfId="0" applyFont="1" applyBorder="1"/>
    <xf numFmtId="0" fontId="4" fillId="0" borderId="0" xfId="0" applyFont="1"/>
    <xf numFmtId="0" fontId="5" fillId="2" borderId="1" xfId="0" applyFont="1" applyFill="1" applyBorder="1"/>
    <xf numFmtId="10" fontId="5" fillId="2" borderId="1" xfId="0" applyNumberFormat="1" applyFont="1" applyFill="1" applyBorder="1"/>
    <xf numFmtId="0" fontId="6" fillId="0" borderId="0" xfId="0" applyFont="1"/>
    <xf numFmtId="0" fontId="5" fillId="0" borderId="8" xfId="0" applyFont="1" applyBorder="1"/>
    <xf numFmtId="10" fontId="5" fillId="0" borderId="17" xfId="0" applyNumberFormat="1" applyFont="1" applyBorder="1"/>
    <xf numFmtId="0" fontId="6" fillId="0" borderId="0" xfId="0" quotePrefix="1" applyFont="1"/>
    <xf numFmtId="0" fontId="5" fillId="0" borderId="18" xfId="0" applyFont="1" applyBorder="1"/>
    <xf numFmtId="10" fontId="5" fillId="0" borderId="8" xfId="0" applyNumberFormat="1" applyFont="1" applyBorder="1"/>
    <xf numFmtId="10" fontId="5" fillId="0" borderId="18" xfId="0" applyNumberFormat="1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3:H5"/>
  <sheetViews>
    <sheetView workbookViewId="0">
      <selection activeCell="G5" sqref="G5"/>
    </sheetView>
  </sheetViews>
  <sheetFormatPr defaultRowHeight="15"/>
  <sheetData>
    <row r="3" spans="5:8">
      <c r="E3" s="1" t="s">
        <v>0</v>
      </c>
      <c r="F3" s="1">
        <v>5</v>
      </c>
    </row>
    <row r="4" spans="5:8">
      <c r="E4" s="1" t="s">
        <v>1</v>
      </c>
      <c r="F4" s="1">
        <v>10</v>
      </c>
    </row>
    <row r="5" spans="5:8">
      <c r="G5" cm="1">
        <f t="array" ref="G5">east+west</f>
        <v>15</v>
      </c>
      <c r="H5" t="str">
        <f ca="1">_xlfn.FORMULATEXT(G5)</f>
        <v>=east+west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C3448-EB38-4CE3-879F-1E669EDE051D}">
  <dimension ref="A1:F55"/>
  <sheetViews>
    <sheetView workbookViewId="0">
      <selection activeCell="G13" sqref="G13"/>
    </sheetView>
  </sheetViews>
  <sheetFormatPr defaultRowHeight="15"/>
  <cols>
    <col min="2" max="2" width="11.42578125" bestFit="1" customWidth="1"/>
    <col min="4" max="4" width="11.28515625" bestFit="1" customWidth="1"/>
    <col min="5" max="5" width="11" bestFit="1" customWidth="1"/>
    <col min="6" max="6" width="15.5703125" bestFit="1" customWidth="1"/>
  </cols>
  <sheetData>
    <row r="1" spans="1:6">
      <c r="A1" s="8"/>
      <c r="B1" s="8"/>
    </row>
    <row r="2" spans="1:6">
      <c r="A2" s="8"/>
      <c r="B2" s="8"/>
    </row>
    <row r="3" spans="1:6">
      <c r="A3" s="8"/>
      <c r="B3" s="8"/>
    </row>
    <row r="4" spans="1:6">
      <c r="A4" s="8"/>
      <c r="B4" s="8"/>
    </row>
    <row r="5" spans="1:6">
      <c r="A5" s="9" t="s">
        <v>2</v>
      </c>
      <c r="B5" s="10" t="s">
        <v>3</v>
      </c>
    </row>
    <row r="6" spans="1:6">
      <c r="A6" s="11" t="s">
        <v>4</v>
      </c>
      <c r="B6" s="12">
        <v>915</v>
      </c>
    </row>
    <row r="7" spans="1:6">
      <c r="A7" s="13" t="s">
        <v>5</v>
      </c>
      <c r="B7" s="14">
        <v>741</v>
      </c>
      <c r="D7" s="2" t="s">
        <v>6</v>
      </c>
      <c r="E7" s="3">
        <v>36927</v>
      </c>
      <c r="F7" s="4"/>
    </row>
    <row r="8" spans="1:6">
      <c r="A8" s="13" t="s">
        <v>7</v>
      </c>
      <c r="B8" s="14">
        <v>566</v>
      </c>
      <c r="D8" s="5" t="s">
        <v>8</v>
      </c>
      <c r="E8" s="6">
        <f>SUM(USStates)</f>
        <v>36927</v>
      </c>
      <c r="F8" s="7" t="str">
        <f ca="1">_xlfn.FORMULATEXT(E8)</f>
        <v>=SUM(USStates)</v>
      </c>
    </row>
    <row r="9" spans="1:6">
      <c r="A9" s="13" t="s">
        <v>9</v>
      </c>
      <c r="B9" s="14">
        <v>754</v>
      </c>
    </row>
    <row r="10" spans="1:6">
      <c r="A10" s="13" t="s">
        <v>10</v>
      </c>
      <c r="B10" s="14">
        <v>687</v>
      </c>
      <c r="D10" t="s">
        <v>11</v>
      </c>
      <c r="E10" cm="1">
        <f t="array" ref="E10">al+ak+az+ar</f>
        <v>2976</v>
      </c>
    </row>
    <row r="11" spans="1:6">
      <c r="A11" s="13" t="s">
        <v>12</v>
      </c>
      <c r="B11" s="14">
        <v>757</v>
      </c>
    </row>
    <row r="12" spans="1:6">
      <c r="A12" s="13" t="s">
        <v>13</v>
      </c>
      <c r="B12" s="14">
        <v>786</v>
      </c>
    </row>
    <row r="13" spans="1:6">
      <c r="A13" s="13" t="s">
        <v>14</v>
      </c>
      <c r="B13" s="14">
        <v>795</v>
      </c>
    </row>
    <row r="14" spans="1:6">
      <c r="A14" s="13" t="s">
        <v>15</v>
      </c>
      <c r="B14" s="14">
        <v>944</v>
      </c>
    </row>
    <row r="15" spans="1:6">
      <c r="A15" s="13" t="s">
        <v>16</v>
      </c>
      <c r="B15" s="14">
        <v>624</v>
      </c>
    </row>
    <row r="16" spans="1:6">
      <c r="A16" s="13" t="s">
        <v>17</v>
      </c>
      <c r="B16" s="14">
        <v>663</v>
      </c>
    </row>
    <row r="17" spans="1:2">
      <c r="A17" s="13" t="s">
        <v>18</v>
      </c>
      <c r="B17" s="14">
        <v>895</v>
      </c>
    </row>
    <row r="18" spans="1:2">
      <c r="A18" s="13" t="s">
        <v>19</v>
      </c>
      <c r="B18" s="14">
        <v>963</v>
      </c>
    </row>
    <row r="19" spans="1:2">
      <c r="A19" s="13" t="s">
        <v>20</v>
      </c>
      <c r="B19" s="14">
        <v>854</v>
      </c>
    </row>
    <row r="20" spans="1:2">
      <c r="A20" s="13" t="s">
        <v>21</v>
      </c>
      <c r="B20" s="14">
        <v>921</v>
      </c>
    </row>
    <row r="21" spans="1:2">
      <c r="A21" s="13" t="s">
        <v>22</v>
      </c>
      <c r="B21" s="14">
        <v>862</v>
      </c>
    </row>
    <row r="22" spans="1:2">
      <c r="A22" s="13" t="s">
        <v>23</v>
      </c>
      <c r="B22" s="14">
        <v>670</v>
      </c>
    </row>
    <row r="23" spans="1:2">
      <c r="A23" s="13" t="s">
        <v>24</v>
      </c>
      <c r="B23" s="14">
        <v>598</v>
      </c>
    </row>
    <row r="24" spans="1:2">
      <c r="A24" s="13" t="s">
        <v>25</v>
      </c>
      <c r="B24" s="14">
        <v>537</v>
      </c>
    </row>
    <row r="25" spans="1:2">
      <c r="A25" s="13" t="s">
        <v>26</v>
      </c>
      <c r="B25" s="14">
        <v>622</v>
      </c>
    </row>
    <row r="26" spans="1:2">
      <c r="A26" s="13" t="s">
        <v>27</v>
      </c>
      <c r="B26" s="14">
        <v>515</v>
      </c>
    </row>
    <row r="27" spans="1:2">
      <c r="A27" s="13" t="s">
        <v>28</v>
      </c>
      <c r="B27" s="14">
        <v>982</v>
      </c>
    </row>
    <row r="28" spans="1:2">
      <c r="A28" s="13" t="s">
        <v>29</v>
      </c>
      <c r="B28" s="14">
        <v>554</v>
      </c>
    </row>
    <row r="29" spans="1:2">
      <c r="A29" s="13" t="s">
        <v>30</v>
      </c>
      <c r="B29" s="14">
        <v>997</v>
      </c>
    </row>
    <row r="30" spans="1:2">
      <c r="A30" s="13" t="s">
        <v>31</v>
      </c>
      <c r="B30" s="14">
        <v>605</v>
      </c>
    </row>
    <row r="31" spans="1:2">
      <c r="A31" s="13" t="s">
        <v>32</v>
      </c>
      <c r="B31" s="14">
        <v>538</v>
      </c>
    </row>
    <row r="32" spans="1:2">
      <c r="A32" s="13" t="s">
        <v>33</v>
      </c>
      <c r="B32" s="14">
        <v>952</v>
      </c>
    </row>
    <row r="33" spans="1:2">
      <c r="A33" s="13" t="s">
        <v>34</v>
      </c>
      <c r="B33" s="14">
        <v>609</v>
      </c>
    </row>
    <row r="34" spans="1:2">
      <c r="A34" s="13" t="s">
        <v>35</v>
      </c>
      <c r="B34" s="14">
        <v>739</v>
      </c>
    </row>
    <row r="35" spans="1:2">
      <c r="A35" s="13" t="s">
        <v>36</v>
      </c>
      <c r="B35" s="14">
        <v>538</v>
      </c>
    </row>
    <row r="36" spans="1:2">
      <c r="A36" s="13" t="s">
        <v>37</v>
      </c>
      <c r="B36" s="14">
        <v>614</v>
      </c>
    </row>
    <row r="37" spans="1:2">
      <c r="A37" s="13" t="s">
        <v>38</v>
      </c>
      <c r="B37" s="14">
        <v>957</v>
      </c>
    </row>
    <row r="38" spans="1:2">
      <c r="A38" s="13" t="s">
        <v>39</v>
      </c>
      <c r="B38" s="14">
        <v>718</v>
      </c>
    </row>
    <row r="39" spans="1:2">
      <c r="A39" s="13" t="s">
        <v>40</v>
      </c>
      <c r="B39" s="14">
        <v>558</v>
      </c>
    </row>
    <row r="40" spans="1:2">
      <c r="A40" s="13" t="s">
        <v>41</v>
      </c>
      <c r="B40" s="14">
        <v>696</v>
      </c>
    </row>
    <row r="41" spans="1:2">
      <c r="A41" s="13" t="s">
        <v>42</v>
      </c>
      <c r="B41" s="14">
        <v>997</v>
      </c>
    </row>
    <row r="42" spans="1:2">
      <c r="A42" s="13" t="s">
        <v>43</v>
      </c>
      <c r="B42" s="14">
        <v>674</v>
      </c>
    </row>
    <row r="43" spans="1:2">
      <c r="A43" s="13" t="s">
        <v>44</v>
      </c>
      <c r="B43" s="14">
        <v>896</v>
      </c>
    </row>
    <row r="44" spans="1:2">
      <c r="A44" s="13" t="s">
        <v>45</v>
      </c>
      <c r="B44" s="14">
        <v>967</v>
      </c>
    </row>
    <row r="45" spans="1:2">
      <c r="A45" s="13" t="s">
        <v>46</v>
      </c>
      <c r="B45" s="14">
        <v>785</v>
      </c>
    </row>
    <row r="46" spans="1:2">
      <c r="A46" s="13" t="s">
        <v>47</v>
      </c>
      <c r="B46" s="14">
        <v>597</v>
      </c>
    </row>
    <row r="47" spans="1:2">
      <c r="A47" s="13" t="s">
        <v>48</v>
      </c>
      <c r="B47" s="14">
        <v>748</v>
      </c>
    </row>
    <row r="48" spans="1:2">
      <c r="A48" s="13" t="s">
        <v>49</v>
      </c>
      <c r="B48" s="14">
        <v>818</v>
      </c>
    </row>
    <row r="49" spans="1:2">
      <c r="A49" s="13" t="s">
        <v>50</v>
      </c>
      <c r="B49" s="14">
        <v>596</v>
      </c>
    </row>
    <row r="50" spans="1:2">
      <c r="A50" s="13" t="s">
        <v>51</v>
      </c>
      <c r="B50" s="14">
        <v>533</v>
      </c>
    </row>
    <row r="51" spans="1:2">
      <c r="A51" s="13" t="s">
        <v>52</v>
      </c>
      <c r="B51" s="14">
        <v>793</v>
      </c>
    </row>
    <row r="52" spans="1:2">
      <c r="A52" s="13" t="s">
        <v>53</v>
      </c>
      <c r="B52" s="14">
        <v>560</v>
      </c>
    </row>
    <row r="53" spans="1:2">
      <c r="A53" s="13" t="s">
        <v>54</v>
      </c>
      <c r="B53" s="14">
        <v>886</v>
      </c>
    </row>
    <row r="54" spans="1:2">
      <c r="A54" s="13" t="s">
        <v>55</v>
      </c>
      <c r="B54" s="14">
        <v>843</v>
      </c>
    </row>
    <row r="55" spans="1:2">
      <c r="A55" s="15" t="s">
        <v>56</v>
      </c>
      <c r="B55" s="16">
        <v>508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869EB-8122-4098-B14E-96145C383DD1}">
  <dimension ref="A1:E11"/>
  <sheetViews>
    <sheetView workbookViewId="0">
      <selection activeCell="E8" sqref="E8"/>
    </sheetView>
  </sheetViews>
  <sheetFormatPr defaultRowHeight="15"/>
  <cols>
    <col min="5" max="5" width="16.42578125" customWidth="1"/>
  </cols>
  <sheetData>
    <row r="1" spans="1:5" ht="15.75">
      <c r="A1" s="17" t="s">
        <v>57</v>
      </c>
      <c r="B1" s="17" t="s">
        <v>58</v>
      </c>
      <c r="C1" s="17" t="s">
        <v>59</v>
      </c>
      <c r="D1" s="17" t="s">
        <v>60</v>
      </c>
      <c r="E1" s="18"/>
    </row>
    <row r="2" spans="1:5" ht="15.75">
      <c r="A2" s="19">
        <v>1928</v>
      </c>
      <c r="B2" s="20">
        <v>0.43809999999999999</v>
      </c>
      <c r="C2" s="20">
        <v>3.0800000000000001E-2</v>
      </c>
      <c r="D2" s="20">
        <v>8.3999999999999995E-3</v>
      </c>
      <c r="E2" s="21" t="s">
        <v>61</v>
      </c>
    </row>
    <row r="3" spans="1:5" ht="15.75">
      <c r="A3" s="22">
        <v>1929</v>
      </c>
      <c r="B3" s="23">
        <v>-8.3000000000000004E-2</v>
      </c>
      <c r="C3" s="23">
        <v>3.1600000000000003E-2</v>
      </c>
      <c r="D3" s="23">
        <v>4.2000000000000003E-2</v>
      </c>
      <c r="E3" s="21">
        <v>0.11412159090909101</v>
      </c>
    </row>
    <row r="4" spans="1:5" ht="15.75">
      <c r="A4" s="19">
        <v>1930</v>
      </c>
      <c r="B4" s="20">
        <v>-0.25119999999999998</v>
      </c>
      <c r="C4" s="20">
        <v>4.5499999999999999E-2</v>
      </c>
      <c r="D4" s="20">
        <v>4.5400000000000003E-2</v>
      </c>
      <c r="E4" s="24" t="s">
        <v>62</v>
      </c>
    </row>
    <row r="5" spans="1:5" ht="15.75">
      <c r="A5" s="22">
        <v>1931</v>
      </c>
      <c r="B5" s="23">
        <v>-0.43840000000000001</v>
      </c>
      <c r="C5" s="23">
        <v>2.3099999999999999E-2</v>
      </c>
      <c r="D5" s="23">
        <v>-2.5600000000000001E-2</v>
      </c>
      <c r="E5" s="18"/>
    </row>
    <row r="6" spans="1:5" ht="15.75">
      <c r="A6" s="19">
        <v>1932</v>
      </c>
      <c r="B6" s="20">
        <v>-8.6400000000000005E-2</v>
      </c>
      <c r="C6" s="20">
        <v>1.0699999999999999E-2</v>
      </c>
      <c r="D6" s="20">
        <v>8.7900000000000006E-2</v>
      </c>
      <c r="E6" s="28" t="s">
        <v>63</v>
      </c>
    </row>
    <row r="7" spans="1:5" ht="15.75">
      <c r="A7" s="22">
        <v>1933</v>
      </c>
      <c r="B7" s="23">
        <v>0.49980000000000002</v>
      </c>
      <c r="C7" s="23">
        <v>9.5999999999999992E-3</v>
      </c>
      <c r="D7" s="23">
        <v>1.8599999999999998E-2</v>
      </c>
      <c r="E7" s="28">
        <f>AVERAGE(Bonds10)</f>
        <v>2.3570000000000004E-2</v>
      </c>
    </row>
    <row r="8" spans="1:5" ht="15.75">
      <c r="A8" s="19">
        <v>2012</v>
      </c>
      <c r="B8" s="20">
        <v>0.15890000000000001</v>
      </c>
      <c r="C8" s="20">
        <v>5.0000000000000001E-4</v>
      </c>
      <c r="D8" s="20">
        <v>2.9700000000000001E-2</v>
      </c>
      <c r="E8" s="28" t="str">
        <f ca="1">_xlfn.FORMULATEXT(E7)</f>
        <v>=AVERAGE(Bonds10)</v>
      </c>
    </row>
    <row r="9" spans="1:5" ht="15.75">
      <c r="A9" s="22">
        <v>2013</v>
      </c>
      <c r="B9" s="23">
        <v>0.32150000000000001</v>
      </c>
      <c r="C9" s="23">
        <v>6.9999999999999999E-4</v>
      </c>
      <c r="D9" s="23">
        <v>-9.0999999999999998E-2</v>
      </c>
      <c r="E9" s="18"/>
    </row>
    <row r="10" spans="1:5" ht="15.75">
      <c r="A10" s="19">
        <v>2014</v>
      </c>
      <c r="B10" s="20">
        <v>0.13519999999999999</v>
      </c>
      <c r="C10" s="20">
        <v>5.0000000000000001E-4</v>
      </c>
      <c r="D10" s="20">
        <v>0.1075</v>
      </c>
      <c r="E10" s="18"/>
    </row>
    <row r="11" spans="1:5" ht="15.75">
      <c r="A11" s="25">
        <v>2015</v>
      </c>
      <c r="B11" s="26">
        <v>1.3599999999999999E-2</v>
      </c>
      <c r="C11" s="27">
        <v>2.0999999999999999E-3</v>
      </c>
      <c r="D11" s="26">
        <v>1.2800000000000001E-2</v>
      </c>
      <c r="E11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545C-7258-4CF6-A439-7B338FEF9D9F}">
  <dimension ref="A1:C13"/>
  <sheetViews>
    <sheetView tabSelected="1" workbookViewId="0">
      <selection activeCell="B13" sqref="B13"/>
    </sheetView>
  </sheetViews>
  <sheetFormatPr defaultRowHeight="15"/>
  <sheetData>
    <row r="1" spans="1:3">
      <c r="A1" s="18"/>
      <c r="B1" s="18"/>
      <c r="C1" s="18"/>
    </row>
    <row r="2" spans="1:3">
      <c r="A2" s="18"/>
      <c r="B2" s="18"/>
      <c r="C2" s="18"/>
    </row>
    <row r="3" spans="1:3">
      <c r="A3" s="21" t="s">
        <v>64</v>
      </c>
      <c r="B3" s="21">
        <v>0.1</v>
      </c>
      <c r="C3" s="18"/>
    </row>
    <row r="4" spans="1:3">
      <c r="A4" s="18"/>
      <c r="B4" s="18"/>
      <c r="C4" s="18"/>
    </row>
    <row r="5" spans="1:3">
      <c r="A5" s="18"/>
      <c r="B5" s="21" t="s">
        <v>65</v>
      </c>
      <c r="C5" s="18"/>
    </row>
    <row r="6" spans="1:3">
      <c r="A6" s="21">
        <v>2011</v>
      </c>
      <c r="B6" s="21">
        <v>300</v>
      </c>
      <c r="C6" s="18"/>
    </row>
    <row r="7" spans="1:3">
      <c r="A7" s="21">
        <v>2012</v>
      </c>
      <c r="B7" s="21">
        <v>330</v>
      </c>
      <c r="C7" s="24" t="s">
        <v>66</v>
      </c>
    </row>
    <row r="8" spans="1:3">
      <c r="A8" s="21">
        <v>2013</v>
      </c>
      <c r="B8" s="21">
        <v>363</v>
      </c>
      <c r="C8" s="24" t="s">
        <v>66</v>
      </c>
    </row>
    <row r="9" spans="1:3">
      <c r="A9" s="21">
        <v>2014</v>
      </c>
      <c r="B9" s="21">
        <v>399.3</v>
      </c>
      <c r="C9" s="24" t="s">
        <v>66</v>
      </c>
    </row>
    <row r="10" spans="1:3">
      <c r="A10" s="21">
        <v>2015</v>
      </c>
      <c r="B10" s="21">
        <v>439.23</v>
      </c>
      <c r="C10" s="24" t="s">
        <v>66</v>
      </c>
    </row>
    <row r="11" spans="1:3">
      <c r="A11" s="21">
        <v>2016</v>
      </c>
      <c r="B11" s="21">
        <v>483.15300000000002</v>
      </c>
      <c r="C11" s="24" t="s">
        <v>66</v>
      </c>
    </row>
    <row r="12" spans="1:3">
      <c r="A12" s="21">
        <v>2017</v>
      </c>
      <c r="B12" s="21">
        <v>531.4683</v>
      </c>
      <c r="C12" s="24" t="s">
        <v>66</v>
      </c>
    </row>
    <row r="13" spans="1:3">
      <c r="A13" s="21">
        <v>2018</v>
      </c>
      <c r="B13" s="21">
        <v>584.61513000000002</v>
      </c>
      <c r="C13" s="2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LAXITA AGRAWAL</cp:lastModifiedBy>
  <cp:revision/>
  <dcterms:created xsi:type="dcterms:W3CDTF">2023-08-29T14:50:35Z</dcterms:created>
  <dcterms:modified xsi:type="dcterms:W3CDTF">2023-10-25T09:10:11Z</dcterms:modified>
  <cp:category/>
  <cp:contentStatus/>
</cp:coreProperties>
</file>