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18"/>
  <workbookPr defaultThemeVersion="166925"/>
  <xr:revisionPtr revIDLastSave="1979" documentId="11_E60897F41BE170836B02CE998F75CCDC64E183C8" xr6:coauthVersionLast="47" xr6:coauthVersionMax="47" xr10:uidLastSave="{2EE0FB62-084F-4969-8AB4-CC4E5970B949}"/>
  <bookViews>
    <workbookView xWindow="240" yWindow="105" windowWidth="14805" windowHeight="8010" firstSheet="4" activeTab="4" xr2:uid="{00000000-000D-0000-FFFF-FFFF00000000}"/>
  </bookViews>
  <sheets>
    <sheet name="varying-column-fixed-row" sheetId="17" r:id="rId1"/>
    <sheet name="fixed-column-varying-row" sheetId="18" r:id="rId2"/>
    <sheet name="fixed-column-fixed-row" sheetId="19" r:id="rId3"/>
    <sheet name="bakery-constant-prices" sheetId="22" r:id="rId4"/>
    <sheet name="coffee-demand-curve-estimation" sheetId="21" r:id="rId5"/>
  </sheets>
  <definedNames>
    <definedName name="cont" localSheetId="3">'bakery-constant-prices'!#REF!</definedName>
    <definedName name="cont" localSheetId="2">'fixed-column-fixed-row'!#REF!</definedName>
    <definedName name="cont" localSheetId="1">'fixed-column-varying-row'!#REF!</definedName>
    <definedName name="cont" localSheetId="0">'varying-column-fixed-row'!#REF!</definedName>
    <definedName name="co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1" l="1"/>
  <c r="D17" i="22"/>
  <c r="D16" i="22"/>
  <c r="D15" i="22"/>
  <c r="D14" i="22"/>
  <c r="D13" i="22"/>
  <c r="D12" i="22"/>
  <c r="C17" i="22"/>
  <c r="C16" i="22"/>
  <c r="C15" i="22"/>
  <c r="C14" i="22"/>
  <c r="C13" i="22"/>
  <c r="C12" i="22"/>
  <c r="B17" i="22"/>
  <c r="B16" i="22"/>
  <c r="B15" i="22"/>
  <c r="B14" i="22"/>
  <c r="B13" i="22"/>
  <c r="B12" i="22"/>
  <c r="I17" i="22"/>
  <c r="I16" i="22"/>
  <c r="I15" i="22"/>
  <c r="I14" i="22"/>
  <c r="I13" i="22"/>
  <c r="I12" i="22"/>
  <c r="H17" i="22"/>
  <c r="H16" i="22"/>
  <c r="H15" i="22"/>
  <c r="H14" i="22"/>
  <c r="H13" i="22"/>
  <c r="H12" i="22"/>
  <c r="G17" i="22"/>
  <c r="G16" i="22"/>
  <c r="G15" i="22"/>
  <c r="G14" i="22"/>
  <c r="G13" i="22"/>
  <c r="G12" i="22"/>
  <c r="E17" i="22"/>
  <c r="E16" i="22"/>
  <c r="E15" i="22"/>
  <c r="E14" i="22"/>
  <c r="E13" i="22"/>
  <c r="D18" i="22"/>
  <c r="C18" i="22"/>
  <c r="O10" i="17"/>
  <c r="N10" i="17"/>
  <c r="M10" i="17"/>
  <c r="L10" i="17"/>
  <c r="O9" i="17"/>
  <c r="N9" i="17"/>
  <c r="M9" i="17"/>
  <c r="L9" i="17"/>
  <c r="J10" i="17"/>
  <c r="J9" i="17"/>
  <c r="K10" i="17"/>
  <c r="K9" i="17"/>
  <c r="L13" i="21"/>
  <c r="K13" i="21"/>
  <c r="J13" i="21"/>
  <c r="I13" i="21"/>
  <c r="H13" i="21"/>
  <c r="G13" i="21"/>
  <c r="L12" i="21"/>
  <c r="K12" i="21"/>
  <c r="J12" i="21"/>
  <c r="I12" i="21"/>
  <c r="G12" i="21"/>
  <c r="L11" i="21"/>
  <c r="K11" i="21"/>
  <c r="J11" i="21"/>
  <c r="I11" i="21"/>
  <c r="H11" i="21"/>
  <c r="G11" i="21"/>
  <c r="L10" i="21"/>
  <c r="K10" i="21"/>
  <c r="J10" i="21"/>
  <c r="I10" i="21"/>
  <c r="H10" i="21"/>
  <c r="G10" i="21"/>
  <c r="F13" i="21"/>
  <c r="F12" i="21"/>
  <c r="F11" i="21"/>
  <c r="F10" i="21"/>
  <c r="E9" i="18"/>
  <c r="I10" i="18"/>
  <c r="I9" i="18"/>
  <c r="O8" i="19"/>
  <c r="M8" i="19"/>
  <c r="K8" i="19"/>
  <c r="I10" i="19"/>
  <c r="I9" i="19"/>
  <c r="I8" i="19"/>
  <c r="H10" i="19"/>
  <c r="E10" i="19"/>
  <c r="D10" i="19"/>
  <c r="H9" i="19"/>
  <c r="E9" i="19"/>
  <c r="D9" i="19"/>
  <c r="N8" i="19"/>
  <c r="L8" i="19"/>
  <c r="J8" i="19"/>
  <c r="H8" i="19"/>
  <c r="E8" i="19"/>
  <c r="D8" i="19"/>
  <c r="H9" i="18"/>
  <c r="E10" i="18"/>
  <c r="O8" i="18"/>
  <c r="M8" i="18"/>
  <c r="K8" i="18"/>
  <c r="I8" i="18"/>
  <c r="E8" i="18"/>
  <c r="H10" i="18"/>
  <c r="D10" i="18"/>
  <c r="D9" i="18"/>
  <c r="N8" i="18"/>
  <c r="L8" i="18"/>
  <c r="J8" i="18"/>
  <c r="H8" i="18"/>
  <c r="D8" i="18"/>
  <c r="N8" i="17"/>
  <c r="L8" i="17"/>
  <c r="J8" i="17"/>
  <c r="O8" i="17"/>
  <c r="M8" i="17"/>
  <c r="K8" i="17"/>
  <c r="E10" i="17"/>
  <c r="E9" i="17"/>
  <c r="H10" i="17"/>
  <c r="H9" i="17"/>
  <c r="H8" i="17"/>
  <c r="I10" i="17"/>
  <c r="I9" i="17"/>
  <c r="I8" i="17"/>
  <c r="D10" i="17"/>
  <c r="D9" i="17"/>
  <c r="D8" i="17"/>
  <c r="E8" i="17"/>
  <c r="B18" i="22" l="1"/>
  <c r="E12" i="22"/>
  <c r="E18" i="22" s="1"/>
</calcChain>
</file>

<file path=xl/sharedStrings.xml><?xml version="1.0" encoding="utf-8"?>
<sst xmlns="http://schemas.openxmlformats.org/spreadsheetml/2006/main" count="56" uniqueCount="26">
  <si>
    <t>Values</t>
  </si>
  <si>
    <t>Copying formula across columns. Column name changes, row number is fixed</t>
  </si>
  <si>
    <t>Formula</t>
  </si>
  <si>
    <t>Absolute addressing make row number constant by prepending $</t>
  </si>
  <si>
    <t>Copied Formula</t>
  </si>
  <si>
    <t>Copying formula across columns. Column name is fixed, row number is varying</t>
  </si>
  <si>
    <t>Absolute addressing make column name constant by prepending $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</si>
  <si>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</si>
  <si>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</si>
  <si>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</si>
  <si>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</si>
  <si>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</si>
  <si>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</si>
  <si>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</si>
  <si>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</si>
  <si>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</si>
  <si>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</si>
  <si>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use varying column, fixed row notation</t>
  </si>
  <si>
    <t>Demand</t>
  </si>
  <si>
    <t>100 – 15 * selling price</t>
  </si>
  <si>
    <t>Profit</t>
  </si>
  <si>
    <t>(selling price – production price) * demand</t>
  </si>
  <si>
    <t>Demandslope</t>
  </si>
  <si>
    <t>Demandintercept</t>
  </si>
  <si>
    <t>Price</t>
  </si>
  <si>
    <t>=(F$9-$E10)*(100 - 15*F$9)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</si>
</sst>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Calibri"/>
      <family val="2"/>
      <scheme val="minor"/>
    </font>
    <font>
      <b/>
      <sz val="10"/>
      <color rgb="FF000000"/>
      <name val="Calibri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6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/>
    <xf numFmtId="0" fontId="4" fillId="0" borderId="9" xfId="0" applyFont="1" applyBorder="1"/>
    <xf numFmtId="0" fontId="0" fillId="0" borderId="10" xfId="0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/>
    <xf numFmtId="0" fontId="4" fillId="0" borderId="16" xfId="0" applyFont="1" applyBorder="1"/>
    <xf numFmtId="0" fontId="0" fillId="0" borderId="17" xfId="0" applyBorder="1" applyAlignment="1">
      <alignment vertical="center"/>
    </xf>
    <xf numFmtId="0" fontId="2" fillId="0" borderId="13" xfId="0" applyFont="1" applyBorder="1"/>
    <xf numFmtId="0" fontId="2" fillId="0" borderId="15" xfId="0" applyFont="1" applyBorder="1"/>
    <xf numFmtId="0" fontId="0" fillId="0" borderId="16" xfId="0" applyBorder="1"/>
    <xf numFmtId="0" fontId="0" fillId="0" borderId="16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4" xfId="0" applyBorder="1"/>
    <xf numFmtId="0" fontId="0" fillId="0" borderId="17" xfId="0" applyBorder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2" xfId="0" applyBorder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8" fontId="3" fillId="0" borderId="16" xfId="0" applyNumberFormat="1" applyFont="1" applyBorder="1"/>
    <xf numFmtId="8" fontId="3" fillId="0" borderId="17" xfId="0" applyNumberFormat="1" applyFont="1" applyBorder="1"/>
    <xf numFmtId="8" fontId="0" fillId="0" borderId="0" xfId="0" applyNumberFormat="1"/>
    <xf numFmtId="0" fontId="0" fillId="0" borderId="4" xfId="0" applyBorder="1"/>
    <xf numFmtId="0" fontId="3" fillId="0" borderId="0" xfId="0" quotePrefix="1" applyFont="1"/>
    <xf numFmtId="0" fontId="2" fillId="0" borderId="0" xfId="0" applyFont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0" fontId="3" fillId="0" borderId="1" xfId="0" applyFont="1" applyBorder="1"/>
    <xf numFmtId="0" fontId="3" fillId="0" borderId="3" xfId="0" applyFont="1" applyBorder="1"/>
    <xf numFmtId="8" fontId="3" fillId="0" borderId="9" xfId="0" applyNumberFormat="1" applyFont="1" applyBorder="1"/>
    <xf numFmtId="0" fontId="2" fillId="0" borderId="10" xfId="0" applyFont="1" applyBorder="1"/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3" fillId="0" borderId="13" xfId="0" applyFont="1" applyBorder="1" applyAlignment="1">
      <alignment horizontal="center"/>
    </xf>
    <xf numFmtId="8" fontId="3" fillId="0" borderId="14" xfId="0" applyNumberFormat="1" applyFont="1" applyBorder="1"/>
    <xf numFmtId="8" fontId="1" fillId="0" borderId="9" xfId="0" applyNumberFormat="1" applyFont="1" applyBorder="1"/>
    <xf numFmtId="8" fontId="1" fillId="0" borderId="14" xfId="0" applyNumberFormat="1" applyFont="1" applyBorder="1"/>
    <xf numFmtId="8" fontId="1" fillId="0" borderId="13" xfId="0" applyNumberFormat="1" applyFont="1" applyBorder="1"/>
    <xf numFmtId="8" fontId="1" fillId="0" borderId="15" xfId="0" applyNumberFormat="1" applyFont="1" applyBorder="1"/>
    <xf numFmtId="8" fontId="3" fillId="2" borderId="9" xfId="0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3" fillId="0" borderId="0" xfId="0" applyFont="1"/>
    <xf numFmtId="8" fontId="2" fillId="0" borderId="0" xfId="0" applyNumberFormat="1" applyFont="1"/>
    <xf numFmtId="8" fontId="0" fillId="0" borderId="5" xfId="0" applyNumberFormat="1" applyBorder="1"/>
    <xf numFmtId="8" fontId="0" fillId="0" borderId="8" xfId="0" applyNumberFormat="1" applyBorder="1"/>
    <xf numFmtId="0" fontId="3" fillId="0" borderId="2" xfId="0" applyFont="1" applyBorder="1"/>
    <xf numFmtId="8" fontId="2" fillId="0" borderId="31" xfId="0" applyNumberFormat="1" applyFont="1" applyBorder="1"/>
    <xf numFmtId="8" fontId="3" fillId="0" borderId="32" xfId="0" applyNumberFormat="1" applyFont="1" applyBorder="1"/>
    <xf numFmtId="8" fontId="3" fillId="0" borderId="33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BE24-2700-4D7F-9504-4E1AF7CF2654}">
  <dimension ref="C3:O14"/>
  <sheetViews>
    <sheetView topLeftCell="A3" workbookViewId="0">
      <selection activeCell="J12" sqref="J12"/>
    </sheetView>
  </sheetViews>
  <sheetFormatPr defaultRowHeight="15"/>
  <cols>
    <col min="3" max="3" width="13.28515625" bestFit="1" customWidth="1"/>
    <col min="7" max="7" width="18.140625" customWidth="1"/>
    <col min="15" max="15" width="13.42578125" customWidth="1"/>
  </cols>
  <sheetData>
    <row r="3" spans="3:15">
      <c r="C3" s="1"/>
    </row>
    <row r="4" spans="3:15">
      <c r="C4" s="79" t="s">
        <v>0</v>
      </c>
      <c r="D4" s="37">
        <v>123</v>
      </c>
    </row>
    <row r="5" spans="3:15" ht="15" customHeight="1">
      <c r="C5" s="80"/>
      <c r="D5" s="28">
        <v>12345</v>
      </c>
    </row>
    <row r="6" spans="3:15" ht="27.75" customHeight="1">
      <c r="C6" s="80"/>
      <c r="D6" s="28">
        <v>5678</v>
      </c>
    </row>
    <row r="7" spans="3:15" ht="32.25" customHeight="1">
      <c r="C7" s="81"/>
      <c r="D7" s="29">
        <v>91011</v>
      </c>
      <c r="J7" s="76" t="s">
        <v>1</v>
      </c>
      <c r="K7" s="77"/>
      <c r="L7" s="77"/>
      <c r="M7" s="77"/>
      <c r="N7" s="77"/>
      <c r="O7" s="78"/>
    </row>
    <row r="8" spans="3:15" s="10" customFormat="1" ht="76.5">
      <c r="C8" s="35" t="s">
        <v>2</v>
      </c>
      <c r="D8" s="36" t="str">
        <f ca="1">_xlfn.FORMULATEXT(E8)</f>
        <v>=D5</v>
      </c>
      <c r="E8" s="16">
        <f>D5</f>
        <v>12345</v>
      </c>
      <c r="G8" s="14" t="s">
        <v>3</v>
      </c>
      <c r="H8" s="15" t="str">
        <f ca="1">_xlfn.FORMULATEXT(I8)</f>
        <v>=D$5</v>
      </c>
      <c r="I8" s="27">
        <f>D$5</f>
        <v>12345</v>
      </c>
      <c r="J8" s="30" t="str">
        <f ca="1">_xlfn.FORMULATEXT(K8)</f>
        <v>=F$5</v>
      </c>
      <c r="K8" s="31">
        <f>F$5</f>
        <v>0</v>
      </c>
      <c r="L8" s="32" t="str">
        <f ca="1">_xlfn.FORMULATEXT(M8)</f>
        <v>=H$5</v>
      </c>
      <c r="M8" s="31">
        <f>H$5</f>
        <v>0</v>
      </c>
      <c r="N8" s="32" t="str">
        <f ca="1">_xlfn.FORMULATEXT(O8)</f>
        <v>=J$5</v>
      </c>
      <c r="O8" s="33">
        <f>J$5</f>
        <v>0</v>
      </c>
    </row>
    <row r="9" spans="3:15">
      <c r="C9" s="22" t="s">
        <v>4</v>
      </c>
      <c r="D9" s="12" t="str">
        <f ca="1">_xlfn.FORMULATEXT(E9)</f>
        <v>=D6</v>
      </c>
      <c r="E9" s="18">
        <f>D6</f>
        <v>5678</v>
      </c>
      <c r="G9" s="17" t="s">
        <v>4</v>
      </c>
      <c r="H9" s="13" t="str">
        <f ca="1">_xlfn.FORMULATEXT(I9)</f>
        <v>=D$5</v>
      </c>
      <c r="I9" s="28">
        <f>D$5</f>
        <v>12345</v>
      </c>
      <c r="J9" s="30" t="str">
        <f ca="1">_xlfn.FORMULATEXT(K9)</f>
        <v>=F$5</v>
      </c>
      <c r="K9" s="31">
        <f>F$5</f>
        <v>0</v>
      </c>
      <c r="L9" s="32" t="str">
        <f ca="1">_xlfn.FORMULATEXT(M9)</f>
        <v>=H$5</v>
      </c>
      <c r="M9" s="31">
        <f>H$5</f>
        <v>0</v>
      </c>
      <c r="N9" s="32" t="str">
        <f ca="1">_xlfn.FORMULATEXT(O9)</f>
        <v>=J$5</v>
      </c>
      <c r="O9" s="33">
        <f>J$5</f>
        <v>0</v>
      </c>
    </row>
    <row r="10" spans="3:15">
      <c r="C10" s="23" t="s">
        <v>4</v>
      </c>
      <c r="D10" s="24" t="str">
        <f ca="1">_xlfn.FORMULATEXT(E10)</f>
        <v>=D7</v>
      </c>
      <c r="E10" s="21">
        <f>D7</f>
        <v>91011</v>
      </c>
      <c r="G10" s="19" t="s">
        <v>4</v>
      </c>
      <c r="H10" s="20" t="str">
        <f ca="1">_xlfn.FORMULATEXT(I10)</f>
        <v>=D$5</v>
      </c>
      <c r="I10" s="29">
        <f>D$5</f>
        <v>12345</v>
      </c>
      <c r="J10" s="30" t="str">
        <f ca="1">_xlfn.FORMULATEXT(K10)</f>
        <v>=F$5</v>
      </c>
      <c r="K10" s="31">
        <f>F$5</f>
        <v>0</v>
      </c>
      <c r="L10" s="32" t="str">
        <f ca="1">_xlfn.FORMULATEXT(M10)</f>
        <v>=H$5</v>
      </c>
      <c r="M10" s="31">
        <f>H$5</f>
        <v>0</v>
      </c>
      <c r="N10" s="32" t="str">
        <f ca="1">_xlfn.FORMULATEXT(O10)</f>
        <v>=J$5</v>
      </c>
      <c r="O10" s="33">
        <f>J$5</f>
        <v>0</v>
      </c>
    </row>
    <row r="11" spans="3:15">
      <c r="C11" s="1"/>
    </row>
    <row r="12" spans="3:15">
      <c r="C12" s="1"/>
    </row>
    <row r="13" spans="3:15">
      <c r="C13" s="1"/>
    </row>
    <row r="14" spans="3:15">
      <c r="C14" s="1"/>
    </row>
  </sheetData>
  <mergeCells count="2">
    <mergeCell ref="J7:O7"/>
    <mergeCell ref="C4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29BC-EE56-4083-AFCC-DA2979CDC156}">
  <dimension ref="C3:O14"/>
  <sheetViews>
    <sheetView topLeftCell="A6" workbookViewId="0">
      <selection activeCell="I8" sqref="I8"/>
    </sheetView>
  </sheetViews>
  <sheetFormatPr defaultRowHeight="15"/>
  <cols>
    <col min="3" max="3" width="13.28515625" bestFit="1" customWidth="1"/>
    <col min="7" max="7" width="18.140625" customWidth="1"/>
    <col min="15" max="15" width="13.42578125" customWidth="1"/>
  </cols>
  <sheetData>
    <row r="3" spans="3:15">
      <c r="C3" s="1"/>
    </row>
    <row r="4" spans="3:15">
      <c r="C4" s="79" t="s">
        <v>0</v>
      </c>
      <c r="D4" s="37">
        <v>123</v>
      </c>
    </row>
    <row r="5" spans="3:15" ht="15" customHeight="1">
      <c r="C5" s="80"/>
      <c r="D5" s="28">
        <v>12345</v>
      </c>
    </row>
    <row r="6" spans="3:15" ht="27.75" customHeight="1">
      <c r="C6" s="80"/>
      <c r="D6" s="28">
        <v>5678</v>
      </c>
    </row>
    <row r="7" spans="3:15" ht="32.25" customHeight="1">
      <c r="C7" s="81"/>
      <c r="D7" s="29">
        <v>91011</v>
      </c>
      <c r="J7" s="76" t="s">
        <v>5</v>
      </c>
      <c r="K7" s="77"/>
      <c r="L7" s="77"/>
      <c r="M7" s="77"/>
      <c r="N7" s="77"/>
      <c r="O7" s="78"/>
    </row>
    <row r="8" spans="3:15" s="10" customFormat="1" ht="76.5">
      <c r="C8" s="35" t="s">
        <v>2</v>
      </c>
      <c r="D8" s="36" t="str">
        <f ca="1">_xlfn.FORMULATEXT(E8)</f>
        <v>=D5</v>
      </c>
      <c r="E8" s="16">
        <f>D5</f>
        <v>12345</v>
      </c>
      <c r="G8" s="14" t="s">
        <v>6</v>
      </c>
      <c r="H8" s="15" t="str">
        <f ca="1">_xlfn.FORMULATEXT(I8)</f>
        <v>=$D5</v>
      </c>
      <c r="I8" s="16">
        <f>$D5</f>
        <v>12345</v>
      </c>
      <c r="J8" s="34" t="str">
        <f ca="1">_xlfn.FORMULATEXT(K8)</f>
        <v>=$D5</v>
      </c>
      <c r="K8" s="25">
        <f>$D5</f>
        <v>12345</v>
      </c>
      <c r="L8" s="26" t="str">
        <f ca="1">_xlfn.FORMULATEXT(M8)</f>
        <v>=$D5</v>
      </c>
      <c r="M8" s="25">
        <f>$D5</f>
        <v>12345</v>
      </c>
      <c r="N8" s="26" t="str">
        <f ca="1">_xlfn.FORMULATEXT(O8)</f>
        <v>=$D5</v>
      </c>
      <c r="O8" s="21">
        <f>$D5</f>
        <v>12345</v>
      </c>
    </row>
    <row r="9" spans="3:15">
      <c r="C9" s="22" t="s">
        <v>4</v>
      </c>
      <c r="D9" s="12" t="str">
        <f ca="1">_xlfn.FORMULATEXT(E9)</f>
        <v>=D6</v>
      </c>
      <c r="E9" s="16">
        <f>D6</f>
        <v>5678</v>
      </c>
      <c r="G9" s="17" t="s">
        <v>4</v>
      </c>
      <c r="H9" s="11" t="str">
        <f ca="1">_xlfn.FORMULATEXT(I9)</f>
        <v>=$D6</v>
      </c>
      <c r="I9" s="18">
        <f>$D6</f>
        <v>5678</v>
      </c>
      <c r="K9" s="10"/>
    </row>
    <row r="10" spans="3:15">
      <c r="C10" s="23" t="s">
        <v>4</v>
      </c>
      <c r="D10" s="24" t="str">
        <f ca="1">_xlfn.FORMULATEXT(E10)</f>
        <v>=D7</v>
      </c>
      <c r="E10" s="21">
        <f>D7</f>
        <v>91011</v>
      </c>
      <c r="G10" s="19" t="s">
        <v>4</v>
      </c>
      <c r="H10" s="20" t="str">
        <f ca="1">_xlfn.FORMULATEXT(I10)</f>
        <v>=$D7</v>
      </c>
      <c r="I10" s="21">
        <f>$D7</f>
        <v>91011</v>
      </c>
    </row>
    <row r="11" spans="3:15">
      <c r="C11" s="1"/>
    </row>
    <row r="12" spans="3:15">
      <c r="C12" s="1"/>
    </row>
    <row r="13" spans="3:15">
      <c r="C13" s="1"/>
    </row>
    <row r="14" spans="3:15">
      <c r="C14" s="1"/>
    </row>
  </sheetData>
  <mergeCells count="2">
    <mergeCell ref="J7:O7"/>
    <mergeCell ref="C4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28CC-65E4-4579-8AF1-5DBCD1F986B7}">
  <dimension ref="C3:O14"/>
  <sheetViews>
    <sheetView topLeftCell="B1" workbookViewId="0">
      <selection activeCell="I9" sqref="I9"/>
    </sheetView>
  </sheetViews>
  <sheetFormatPr defaultRowHeight="15"/>
  <cols>
    <col min="3" max="3" width="13.28515625" bestFit="1" customWidth="1"/>
    <col min="7" max="7" width="18.140625" customWidth="1"/>
    <col min="15" max="15" width="13.42578125" customWidth="1"/>
  </cols>
  <sheetData>
    <row r="3" spans="3:15">
      <c r="C3" s="1"/>
    </row>
    <row r="4" spans="3:15">
      <c r="C4" s="79" t="s">
        <v>0</v>
      </c>
      <c r="D4" s="37">
        <v>123</v>
      </c>
    </row>
    <row r="5" spans="3:15" ht="15" customHeight="1">
      <c r="C5" s="80"/>
      <c r="D5" s="28">
        <v>12345</v>
      </c>
    </row>
    <row r="6" spans="3:15" ht="27.75" customHeight="1">
      <c r="C6" s="80"/>
      <c r="D6" s="28">
        <v>5678</v>
      </c>
    </row>
    <row r="7" spans="3:15" ht="32.25" customHeight="1">
      <c r="C7" s="81"/>
      <c r="D7" s="29">
        <v>91011</v>
      </c>
      <c r="J7" s="76" t="s">
        <v>5</v>
      </c>
      <c r="K7" s="77"/>
      <c r="L7" s="77"/>
      <c r="M7" s="77"/>
      <c r="N7" s="77"/>
      <c r="O7" s="78"/>
    </row>
    <row r="8" spans="3:15" s="10" customFormat="1" ht="76.5">
      <c r="C8" s="35" t="s">
        <v>2</v>
      </c>
      <c r="D8" s="36" t="str">
        <f ca="1">_xlfn.FORMULATEXT(E8)</f>
        <v>=D5</v>
      </c>
      <c r="E8" s="16">
        <f>D5</f>
        <v>12345</v>
      </c>
      <c r="G8" s="14" t="s">
        <v>6</v>
      </c>
      <c r="H8" s="15" t="str">
        <f ca="1">_xlfn.FORMULATEXT(I8)</f>
        <v>=$D$5</v>
      </c>
      <c r="I8" s="27">
        <f>$D$5</f>
        <v>12345</v>
      </c>
      <c r="J8" s="30" t="str">
        <f ca="1">_xlfn.FORMULATEXT(K8)</f>
        <v>=$D$5</v>
      </c>
      <c r="K8" s="31">
        <f>$D$5</f>
        <v>12345</v>
      </c>
      <c r="L8" s="32" t="str">
        <f ca="1">_xlfn.FORMULATEXT(M8)</f>
        <v>=$D$5</v>
      </c>
      <c r="M8" s="31">
        <f>$D$5</f>
        <v>12345</v>
      </c>
      <c r="N8" s="32" t="str">
        <f ca="1">_xlfn.FORMULATEXT(O8)</f>
        <v>=$D$5</v>
      </c>
      <c r="O8" s="33">
        <f>$D$5</f>
        <v>12345</v>
      </c>
    </row>
    <row r="9" spans="3:15">
      <c r="C9" s="22" t="s">
        <v>4</v>
      </c>
      <c r="D9" s="12" t="str">
        <f ca="1">_xlfn.FORMULATEXT(E9)</f>
        <v>=D6</v>
      </c>
      <c r="E9" s="18">
        <f>D6</f>
        <v>5678</v>
      </c>
      <c r="G9" s="17" t="s">
        <v>4</v>
      </c>
      <c r="H9" s="11" t="str">
        <f ca="1">_xlfn.FORMULATEXT(I9)</f>
        <v>=$D$5</v>
      </c>
      <c r="I9" s="18">
        <f>$D$5</f>
        <v>12345</v>
      </c>
    </row>
    <row r="10" spans="3:15">
      <c r="C10" s="23" t="s">
        <v>4</v>
      </c>
      <c r="D10" s="24" t="str">
        <f ca="1">_xlfn.FORMULATEXT(E10)</f>
        <v>=D7</v>
      </c>
      <c r="E10" s="21">
        <f>D7</f>
        <v>91011</v>
      </c>
      <c r="G10" s="19" t="s">
        <v>4</v>
      </c>
      <c r="H10" s="20" t="str">
        <f ca="1">_xlfn.FORMULATEXT(I10)</f>
        <v>=$D$5</v>
      </c>
      <c r="I10" s="21">
        <f>$D$5</f>
        <v>12345</v>
      </c>
    </row>
    <row r="11" spans="3:15">
      <c r="C11" s="1"/>
    </row>
    <row r="12" spans="3:15">
      <c r="C12" s="1"/>
    </row>
    <row r="13" spans="3:15">
      <c r="C13" s="1"/>
    </row>
    <row r="14" spans="3:15">
      <c r="C14" s="1"/>
    </row>
  </sheetData>
  <mergeCells count="2">
    <mergeCell ref="J7:O7"/>
    <mergeCell ref="C4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3F9-5A64-4E5F-BF93-410AEC5249F0}">
  <dimension ref="A1:I18"/>
  <sheetViews>
    <sheetView workbookViewId="0">
      <selection activeCell="B18" sqref="B18:E18"/>
    </sheetView>
  </sheetViews>
  <sheetFormatPr defaultRowHeight="15"/>
  <cols>
    <col min="3" max="3" width="10.28515625" bestFit="1" customWidth="1"/>
    <col min="5" max="5" width="10.28515625" bestFit="1" customWidth="1"/>
    <col min="7" max="7" width="14" customWidth="1"/>
    <col min="8" max="8" width="13.85546875" customWidth="1"/>
    <col min="9" max="9" width="13.140625" customWidth="1"/>
  </cols>
  <sheetData>
    <row r="1" spans="1:9">
      <c r="B1" s="38" t="s">
        <v>7</v>
      </c>
      <c r="C1" s="39" t="s">
        <v>8</v>
      </c>
      <c r="D1" s="40" t="s">
        <v>9</v>
      </c>
    </row>
    <row r="2" spans="1:9">
      <c r="B2" s="73">
        <v>0.4</v>
      </c>
      <c r="C2" s="74">
        <v>1.2</v>
      </c>
      <c r="D2" s="75">
        <v>0.12</v>
      </c>
    </row>
    <row r="3" spans="1:9">
      <c r="A3" s="49" t="s">
        <v>10</v>
      </c>
      <c r="B3" s="72">
        <v>364</v>
      </c>
      <c r="C3" s="72">
        <v>391</v>
      </c>
      <c r="D3" s="50">
        <v>220</v>
      </c>
    </row>
    <row r="4" spans="1:9">
      <c r="A4" s="2" t="s">
        <v>11</v>
      </c>
      <c r="B4" s="68">
        <v>387</v>
      </c>
      <c r="C4" s="68">
        <v>245</v>
      </c>
      <c r="D4" s="7">
        <v>314</v>
      </c>
    </row>
    <row r="5" spans="1:9">
      <c r="A5" s="2" t="s">
        <v>12</v>
      </c>
      <c r="B5" s="68">
        <v>290</v>
      </c>
      <c r="C5" s="68">
        <v>211</v>
      </c>
      <c r="D5" s="7">
        <v>200</v>
      </c>
    </row>
    <row r="6" spans="1:9">
      <c r="A6" s="2" t="s">
        <v>13</v>
      </c>
      <c r="B6" s="68">
        <v>340</v>
      </c>
      <c r="C6" s="68">
        <v>265</v>
      </c>
      <c r="D6" s="7">
        <v>330</v>
      </c>
    </row>
    <row r="7" spans="1:9">
      <c r="A7" s="2" t="s">
        <v>14</v>
      </c>
      <c r="B7" s="68">
        <v>261</v>
      </c>
      <c r="C7" s="68">
        <v>345</v>
      </c>
      <c r="D7" s="7">
        <v>246</v>
      </c>
    </row>
    <row r="8" spans="1:9">
      <c r="A8" s="3" t="s">
        <v>15</v>
      </c>
      <c r="B8" s="8">
        <v>365</v>
      </c>
      <c r="C8" s="8">
        <v>232</v>
      </c>
      <c r="D8" s="9">
        <v>390</v>
      </c>
    </row>
    <row r="9" spans="1:9">
      <c r="A9" s="1"/>
      <c r="B9" s="1"/>
      <c r="C9" s="1"/>
      <c r="D9" s="1"/>
    </row>
    <row r="10" spans="1:9">
      <c r="A10" s="4" t="s">
        <v>16</v>
      </c>
      <c r="B10" s="5"/>
      <c r="C10" s="5"/>
      <c r="D10" s="5"/>
      <c r="E10" s="67"/>
      <c r="G10" s="82" t="s">
        <v>17</v>
      </c>
      <c r="H10" s="83"/>
      <c r="I10" s="84"/>
    </row>
    <row r="11" spans="1:9">
      <c r="A11" s="6"/>
      <c r="B11" s="68" t="s">
        <v>7</v>
      </c>
      <c r="C11" s="68" t="s">
        <v>8</v>
      </c>
      <c r="D11" s="68" t="s">
        <v>9</v>
      </c>
      <c r="E11" s="63"/>
      <c r="G11" s="44" t="s">
        <v>7</v>
      </c>
      <c r="H11" t="s">
        <v>8</v>
      </c>
      <c r="I11" s="63" t="s">
        <v>9</v>
      </c>
    </row>
    <row r="12" spans="1:9">
      <c r="A12" s="2" t="s">
        <v>10</v>
      </c>
      <c r="B12" s="69">
        <f>B$2 * B3</f>
        <v>145.6</v>
      </c>
      <c r="C12" s="69">
        <f t="shared" ref="C12:D17" si="0">C$2 * C3</f>
        <v>469.2</v>
      </c>
      <c r="D12" s="69">
        <f t="shared" si="0"/>
        <v>26.4</v>
      </c>
      <c r="E12" s="70">
        <f>SUM(B12:D12)</f>
        <v>641.19999999999993</v>
      </c>
      <c r="G12" s="44" t="str">
        <f ca="1">_xlfn.FORMULATEXT(B12)</f>
        <v>=B$2 * B3</v>
      </c>
      <c r="H12" t="str">
        <f ca="1">_xlfn.FORMULATEXT(C12)</f>
        <v>=C$2 * C3</v>
      </c>
      <c r="I12" s="63" t="str">
        <f ca="1">_xlfn.FORMULATEXT(D12)</f>
        <v>=D$2 * D3</v>
      </c>
    </row>
    <row r="13" spans="1:9">
      <c r="A13" s="2" t="s">
        <v>11</v>
      </c>
      <c r="B13" s="69">
        <f t="shared" ref="B13:B17" si="1">B$2 * B4</f>
        <v>154.80000000000001</v>
      </c>
      <c r="C13" s="69">
        <f t="shared" si="0"/>
        <v>294</v>
      </c>
      <c r="D13" s="69">
        <f t="shared" si="0"/>
        <v>37.68</v>
      </c>
      <c r="E13" s="70">
        <f t="shared" ref="E13:E17" si="2">SUM(B13:D13)</f>
        <v>486.48</v>
      </c>
      <c r="G13" s="44" t="str">
        <f t="shared" ref="G13:G17" ca="1" si="3">_xlfn.FORMULATEXT(B13)</f>
        <v>=B$2 * B4</v>
      </c>
      <c r="H13" t="str">
        <f t="shared" ref="H13:H17" ca="1" si="4">_xlfn.FORMULATEXT(C13)</f>
        <v>=C$2 * C4</v>
      </c>
      <c r="I13" s="63" t="str">
        <f t="shared" ref="I13:I17" ca="1" si="5">_xlfn.FORMULATEXT(D13)</f>
        <v>=D$2 * D4</v>
      </c>
    </row>
    <row r="14" spans="1:9">
      <c r="A14" s="2" t="s">
        <v>12</v>
      </c>
      <c r="B14" s="69">
        <f t="shared" si="1"/>
        <v>116</v>
      </c>
      <c r="C14" s="69">
        <f t="shared" si="0"/>
        <v>253.2</v>
      </c>
      <c r="D14" s="69">
        <f t="shared" si="0"/>
        <v>24</v>
      </c>
      <c r="E14" s="70">
        <f t="shared" si="2"/>
        <v>393.2</v>
      </c>
      <c r="G14" s="44" t="str">
        <f t="shared" ca="1" si="3"/>
        <v>=B$2 * B5</v>
      </c>
      <c r="H14" t="str">
        <f t="shared" ca="1" si="4"/>
        <v>=C$2 * C5</v>
      </c>
      <c r="I14" s="63" t="str">
        <f t="shared" ca="1" si="5"/>
        <v>=D$2 * D5</v>
      </c>
    </row>
    <row r="15" spans="1:9">
      <c r="A15" s="2" t="s">
        <v>13</v>
      </c>
      <c r="B15" s="69">
        <f t="shared" si="1"/>
        <v>136</v>
      </c>
      <c r="C15" s="69">
        <f t="shared" si="0"/>
        <v>318</v>
      </c>
      <c r="D15" s="69">
        <f t="shared" si="0"/>
        <v>39.6</v>
      </c>
      <c r="E15" s="70">
        <f t="shared" si="2"/>
        <v>493.6</v>
      </c>
      <c r="G15" s="44" t="str">
        <f t="shared" ca="1" si="3"/>
        <v>=B$2 * B6</v>
      </c>
      <c r="H15" t="str">
        <f t="shared" ca="1" si="4"/>
        <v>=C$2 * C6</v>
      </c>
      <c r="I15" s="63" t="str">
        <f t="shared" ca="1" si="5"/>
        <v>=D$2 * D6</v>
      </c>
    </row>
    <row r="16" spans="1:9">
      <c r="A16" s="2" t="s">
        <v>14</v>
      </c>
      <c r="B16" s="69">
        <f t="shared" si="1"/>
        <v>104.4</v>
      </c>
      <c r="C16" s="69">
        <f t="shared" si="0"/>
        <v>414</v>
      </c>
      <c r="D16" s="69">
        <f t="shared" si="0"/>
        <v>29.52</v>
      </c>
      <c r="E16" s="70">
        <f t="shared" si="2"/>
        <v>547.91999999999996</v>
      </c>
      <c r="G16" s="44" t="str">
        <f t="shared" ca="1" si="3"/>
        <v>=B$2 * B7</v>
      </c>
      <c r="H16" t="str">
        <f t="shared" ca="1" si="4"/>
        <v>=C$2 * C7</v>
      </c>
      <c r="I16" s="63" t="str">
        <f t="shared" ca="1" si="5"/>
        <v>=D$2 * D7</v>
      </c>
    </row>
    <row r="17" spans="1:9">
      <c r="A17" s="3" t="s">
        <v>15</v>
      </c>
      <c r="B17" s="69">
        <f t="shared" si="1"/>
        <v>146</v>
      </c>
      <c r="C17" s="69">
        <f t="shared" si="0"/>
        <v>278.39999999999998</v>
      </c>
      <c r="D17" s="69">
        <f t="shared" si="0"/>
        <v>46.8</v>
      </c>
      <c r="E17" s="71">
        <f t="shared" si="2"/>
        <v>471.2</v>
      </c>
      <c r="G17" s="64" t="str">
        <f t="shared" ca="1" si="3"/>
        <v>=B$2 * B8</v>
      </c>
      <c r="H17" s="65" t="str">
        <f t="shared" ca="1" si="4"/>
        <v>=C$2 * C8</v>
      </c>
      <c r="I17" s="66" t="str">
        <f t="shared" ca="1" si="5"/>
        <v>=D$2 * D8</v>
      </c>
    </row>
    <row r="18" spans="1:9">
      <c r="B18" s="43">
        <f>SUM(B12:B17)</f>
        <v>802.8</v>
      </c>
      <c r="C18" s="43">
        <f>SUM(C12:C17)</f>
        <v>2026.8000000000002</v>
      </c>
      <c r="D18" s="43">
        <f>SUM(D12:D17)</f>
        <v>204</v>
      </c>
      <c r="E18" s="43">
        <f>SUM(E12:E17)</f>
        <v>3033.6</v>
      </c>
    </row>
  </sheetData>
  <mergeCells count="1">
    <mergeCell ref="G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D3FF-C390-469C-8A5C-6B7D295E68BA}">
  <dimension ref="A1:L16"/>
  <sheetViews>
    <sheetView tabSelected="1" topLeftCell="A3" workbookViewId="0">
      <selection activeCell="H12" sqref="H12"/>
    </sheetView>
  </sheetViews>
  <sheetFormatPr defaultRowHeight="15"/>
  <cols>
    <col min="5" max="5" width="15.7109375" customWidth="1"/>
  </cols>
  <sheetData>
    <row r="1" spans="1:12">
      <c r="A1" s="1"/>
      <c r="B1" s="1"/>
      <c r="C1" s="1"/>
      <c r="D1" s="1"/>
      <c r="E1" s="1"/>
      <c r="F1" s="1"/>
      <c r="G1" s="1"/>
      <c r="H1" s="1"/>
    </row>
    <row r="2" spans="1:12" s="10" customFormat="1" ht="67.5">
      <c r="E2" s="47" t="s">
        <v>18</v>
      </c>
      <c r="F2" s="48" t="s">
        <v>19</v>
      </c>
      <c r="G2" s="46"/>
      <c r="H2" s="47" t="s">
        <v>20</v>
      </c>
      <c r="I2" s="48" t="s">
        <v>21</v>
      </c>
      <c r="J2" s="46"/>
      <c r="K2" s="46"/>
      <c r="L2" s="46"/>
    </row>
    <row r="3" spans="1:12">
      <c r="E3" s="1"/>
      <c r="F3" s="1"/>
      <c r="G3" s="1"/>
      <c r="H3" s="1"/>
      <c r="I3" s="1"/>
      <c r="J3" s="1"/>
      <c r="K3" s="1"/>
      <c r="L3" s="1"/>
    </row>
    <row r="4" spans="1:12">
      <c r="E4" s="49" t="s">
        <v>22</v>
      </c>
      <c r="F4" s="50">
        <v>15</v>
      </c>
      <c r="G4" s="1"/>
      <c r="H4" s="1"/>
      <c r="I4" s="1"/>
      <c r="J4" s="1"/>
      <c r="K4" s="1"/>
      <c r="L4" s="1"/>
    </row>
    <row r="5" spans="1:12">
      <c r="E5" s="3" t="s">
        <v>23</v>
      </c>
      <c r="F5" s="9">
        <v>100</v>
      </c>
      <c r="G5" s="1"/>
      <c r="H5" s="1"/>
      <c r="I5" s="1"/>
      <c r="J5" s="1"/>
      <c r="K5" s="1"/>
      <c r="L5" s="1"/>
    </row>
    <row r="6" spans="1:12">
      <c r="E6" s="1"/>
      <c r="F6" s="1"/>
      <c r="G6" s="1"/>
      <c r="H6" s="1"/>
      <c r="I6" s="1"/>
      <c r="J6" s="1"/>
      <c r="K6" s="1"/>
      <c r="L6" s="1"/>
    </row>
    <row r="7" spans="1:12">
      <c r="E7" s="1"/>
      <c r="F7" s="1"/>
      <c r="G7" s="1"/>
      <c r="H7" s="1"/>
      <c r="I7" s="1"/>
      <c r="J7" s="1"/>
      <c r="K7" s="1"/>
      <c r="L7" s="1"/>
    </row>
    <row r="8" spans="1:12">
      <c r="E8" s="52"/>
      <c r="F8" s="53" t="s">
        <v>24</v>
      </c>
      <c r="G8" s="54"/>
      <c r="H8" s="54"/>
      <c r="I8" s="54"/>
      <c r="J8" s="54"/>
      <c r="K8" s="54"/>
      <c r="L8" s="55"/>
    </row>
    <row r="9" spans="1:12">
      <c r="E9" s="56" t="s">
        <v>16</v>
      </c>
      <c r="F9" s="58">
        <v>2</v>
      </c>
      <c r="G9" s="58">
        <v>2.5</v>
      </c>
      <c r="H9" s="58">
        <v>3</v>
      </c>
      <c r="I9" s="58">
        <v>3.5</v>
      </c>
      <c r="J9" s="58">
        <v>4</v>
      </c>
      <c r="K9" s="58">
        <v>4.5</v>
      </c>
      <c r="L9" s="59">
        <v>5</v>
      </c>
    </row>
    <row r="10" spans="1:12">
      <c r="E10" s="60">
        <v>0.5</v>
      </c>
      <c r="F10" s="51">
        <f>(F$9-$E10)*(100 - 15*F$9)</f>
        <v>105</v>
      </c>
      <c r="G10" s="51">
        <f>(G$9-$E10)*(100 - 15*G$9)</f>
        <v>125</v>
      </c>
      <c r="H10" s="51">
        <f t="shared" ref="H10:L13" si="0">(H$9-$E10)*(100 - 15*H$9)</f>
        <v>137.5</v>
      </c>
      <c r="I10" s="62">
        <f t="shared" si="0"/>
        <v>142.5</v>
      </c>
      <c r="J10" s="51">
        <f t="shared" si="0"/>
        <v>140</v>
      </c>
      <c r="K10" s="51">
        <f t="shared" si="0"/>
        <v>130</v>
      </c>
      <c r="L10" s="57">
        <f t="shared" si="0"/>
        <v>112.5</v>
      </c>
    </row>
    <row r="11" spans="1:12">
      <c r="E11" s="60">
        <v>1</v>
      </c>
      <c r="F11" s="51">
        <f>(F$9-$E11)*(100 - 15*F$9)</f>
        <v>70</v>
      </c>
      <c r="G11" s="51">
        <f t="shared" ref="G11:L13" si="1">(G$9-$E11)*(100 - 15*G$9)</f>
        <v>93.75</v>
      </c>
      <c r="H11" s="51">
        <f t="shared" si="0"/>
        <v>110</v>
      </c>
      <c r="I11" s="51">
        <f t="shared" si="0"/>
        <v>118.75</v>
      </c>
      <c r="J11" s="62">
        <f t="shared" si="0"/>
        <v>120</v>
      </c>
      <c r="K11" s="51">
        <f t="shared" si="0"/>
        <v>113.75</v>
      </c>
      <c r="L11" s="57">
        <f t="shared" si="0"/>
        <v>100</v>
      </c>
    </row>
    <row r="12" spans="1:12">
      <c r="E12" s="60">
        <v>1.5</v>
      </c>
      <c r="F12" s="51">
        <f>(F$9-$E12)*(100 - 15*F$9)</f>
        <v>35</v>
      </c>
      <c r="G12" s="51">
        <f t="shared" si="1"/>
        <v>62.5</v>
      </c>
      <c r="H12" s="51">
        <f>(H$9-$E12)*(100 - 15*H$9)</f>
        <v>82.5</v>
      </c>
      <c r="I12" s="51">
        <f t="shared" si="0"/>
        <v>95</v>
      </c>
      <c r="J12" s="62">
        <f t="shared" si="0"/>
        <v>100</v>
      </c>
      <c r="K12" s="51">
        <f t="shared" si="0"/>
        <v>97.5</v>
      </c>
      <c r="L12" s="57">
        <f t="shared" si="0"/>
        <v>87.5</v>
      </c>
    </row>
    <row r="13" spans="1:12">
      <c r="E13" s="61">
        <v>2</v>
      </c>
      <c r="F13" s="41">
        <f>(F$9-$E13)*(100 - 15*F$9)</f>
        <v>0</v>
      </c>
      <c r="G13" s="41">
        <f t="shared" si="1"/>
        <v>31.25</v>
      </c>
      <c r="H13" s="41">
        <f t="shared" si="0"/>
        <v>55</v>
      </c>
      <c r="I13" s="41">
        <f t="shared" si="0"/>
        <v>71.25</v>
      </c>
      <c r="J13" s="41">
        <f t="shared" si="0"/>
        <v>80</v>
      </c>
      <c r="K13" s="41">
        <f t="shared" si="0"/>
        <v>81.25</v>
      </c>
      <c r="L13" s="42">
        <f t="shared" si="0"/>
        <v>75</v>
      </c>
    </row>
    <row r="14" spans="1:12">
      <c r="E14" s="1"/>
      <c r="F14" s="1"/>
      <c r="G14" s="1"/>
      <c r="H14" s="1"/>
      <c r="I14" s="1"/>
      <c r="J14" s="1"/>
      <c r="K14" s="1"/>
      <c r="L14" s="1"/>
    </row>
    <row r="15" spans="1:12">
      <c r="E15" s="1"/>
      <c r="F15" s="1"/>
      <c r="G15" s="1"/>
      <c r="H15" s="1"/>
      <c r="I15" s="1"/>
      <c r="J15" s="1"/>
      <c r="K15" s="1"/>
      <c r="L15" s="1"/>
    </row>
    <row r="16" spans="1:12">
      <c r="E16" s="1"/>
      <c r="F16" s="45" t="s">
        <v>25</v>
      </c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LAXITA AGRAWAL</cp:lastModifiedBy>
  <cp:revision/>
  <dcterms:created xsi:type="dcterms:W3CDTF">2023-08-15T07:28:41Z</dcterms:created>
  <dcterms:modified xsi:type="dcterms:W3CDTF">2023-10-25T09:10:09Z</dcterms:modified>
  <cp:category/>
  <cp:contentStatus/>
</cp:coreProperties>
</file>