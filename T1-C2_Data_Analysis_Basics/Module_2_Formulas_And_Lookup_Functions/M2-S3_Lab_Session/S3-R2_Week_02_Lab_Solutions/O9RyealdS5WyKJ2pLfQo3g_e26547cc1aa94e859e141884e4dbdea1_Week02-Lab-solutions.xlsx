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week02-problem1" sheetId="1" state="visible" r:id="rId2"/>
    <sheet name="week02-problem2" sheetId="2" state="visible" r:id="rId3"/>
    <sheet name="week02-problem3" sheetId="3" state="visible" r:id="rId4"/>
    <sheet name="week02-problem4" sheetId="4" state="visible" r:id="rId5"/>
    <sheet name="week02-problem5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<sst xmlns="http://schemas.openxmlformats.org/spreadsheetml/2006/main" count="103" uniqueCount="67">
  <si>
    <t xml:space="preserve">Note:Solution containing cells are highlighted in red color</t>
  </si>
  <si>
    <t xml:space="preserve">ID CODE</t>
  </si>
  <si>
    <t xml:space="preserve">Salary</t>
  </si>
  <si>
    <t xml:space="preserve">Experience</t>
  </si>
  <si>
    <t xml:space="preserve">$1,88,272</t>
  </si>
  <si>
    <t xml:space="preserve">ID Code</t>
  </si>
  <si>
    <t xml:space="preserve">$1,71,541</t>
  </si>
  <si>
    <t xml:space="preserve">$1,78,939</t>
  </si>
  <si>
    <t xml:space="preserve">$1,90,165</t>
  </si>
  <si>
    <t xml:space="preserve">$1,50,854</t>
  </si>
  <si>
    <t xml:space="preserve">$1,20,902</t>
  </si>
  <si>
    <t xml:space="preserve">$1,14,149</t>
  </si>
  <si>
    <t xml:space="preserve">$1,56,446</t>
  </si>
  <si>
    <t xml:space="preserve">$1,35,109</t>
  </si>
  <si>
    <t xml:space="preserve">$1,40,871</t>
  </si>
  <si>
    <t xml:space="preserve">$1,70,032</t>
  </si>
  <si>
    <t xml:space="preserve">$1,90,464</t>
  </si>
  <si>
    <t xml:space="preserve">$1,72,230</t>
  </si>
  <si>
    <t xml:space="preserve">$1,95,399</t>
  </si>
  <si>
    <t xml:space="preserve">$1,87,702</t>
  </si>
  <si>
    <t xml:space="preserve">$1,96,843</t>
  </si>
  <si>
    <t xml:space="preserve">$1,21,211</t>
  </si>
  <si>
    <t xml:space="preserve">$1,49,368</t>
  </si>
  <si>
    <t xml:space="preserve">$1,38,800</t>
  </si>
  <si>
    <t xml:space="preserve">$1,31,260</t>
  </si>
  <si>
    <t xml:space="preserve">$1,40,354</t>
  </si>
  <si>
    <t xml:space="preserve">$1,94,357</t>
  </si>
  <si>
    <t xml:space="preserve">$1,60,458</t>
  </si>
  <si>
    <t xml:space="preserve">$1,12,828</t>
  </si>
  <si>
    <t xml:space="preserve">$1,63,027</t>
  </si>
  <si>
    <t xml:space="preserve">$1,20,803</t>
  </si>
  <si>
    <t xml:space="preserve">Suitability rating</t>
  </si>
  <si>
    <t xml:space="preserve">Group 1</t>
  </si>
  <si>
    <t xml:space="preserve">Group 2</t>
  </si>
  <si>
    <t xml:space="preserve">Group 3</t>
  </si>
  <si>
    <t xml:space="preserve">Group 4</t>
  </si>
  <si>
    <t xml:space="preserve">Suitability Rating</t>
  </si>
  <si>
    <t xml:space="preserve">Assigned to</t>
  </si>
  <si>
    <t xml:space="preserve">Worker</t>
  </si>
  <si>
    <t xml:space="preserve">Number of Ads</t>
  </si>
  <si>
    <t xml:space="preserve">Price per ad</t>
  </si>
  <si>
    <t xml:space="preserve">Ads</t>
  </si>
  <si>
    <t xml:space="preserve">Dallas</t>
  </si>
  <si>
    <t xml:space="preserve">Chicago</t>
  </si>
  <si>
    <t xml:space="preserve">Denver</t>
  </si>
  <si>
    <t xml:space="preserve">LA</t>
  </si>
  <si>
    <t xml:space="preserve">Phoenix</t>
  </si>
  <si>
    <t xml:space="preserve">Seattle</t>
  </si>
  <si>
    <t xml:space="preserve">City Id</t>
  </si>
  <si>
    <t xml:space="preserve">Boston</t>
  </si>
  <si>
    <t xml:space="preserve">Miami</t>
  </si>
  <si>
    <t xml:space="preserve">Total sum of distances=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</si>
  <si>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</si>
  <si>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</si>
  <si>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</si>
  <si>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</si>
  <si>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</si>
  <si>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</si>
  <si>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Product 1</t>
  </si>
  <si>
    <t xml:space="preserve">Product 2</t>
  </si>
  <si>
    <t xml:space="preserve">Product 3</t>
  </si>
  <si>
    <t xml:space="preserve">Product 4</t>
  </si>
  <si>
    <t xml:space="preserve">Product 5</t>
  </si>
  <si>
    <t xml:space="preserve">Product 6</t>
  </si>
  <si>
    <t xml:space="preserve">Product 2 sales in March</t>
  </si>
  <si>
    <t xml:space="preserve">Product 1 sales in April</t>
  </si>
  <si>
    <t xml:space="preserve">Total Sales in April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</si>
</sst>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_);[RED]&quot;($&quot;#,##0\)"/>
    <numFmt numFmtId="166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0"/>
      <charset val="1"/>
    </font>
    <font>
      <sz val="11"/>
      <color rgb="FFC9211E"/>
      <name val="Calibri"/>
      <family val="2"/>
      <charset val="1"/>
    </font>
    <font>
      <b val="true"/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6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2:K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0" activeCellId="0" sqref="G20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4.43"/>
    <col collapsed="false" customWidth="true" hidden="false" outlineLevel="0" max="3" min="3" style="0" width="10.85"/>
    <col collapsed="false" customWidth="true" hidden="false" outlineLevel="0" max="5" min="5" style="0" width="11.85"/>
    <col collapsed="false" customWidth="true" hidden="false" outlineLevel="0" max="6" min="6" style="0" width="10.71"/>
    <col collapsed="false" customWidth="true" hidden="false" outlineLevel="0" max="7" min="7" style="0" width="11.43"/>
    <col collapsed="false" customWidth="true" hidden="false" outlineLevel="0" max="11" min="11" style="0" width="10.28"/>
  </cols>
  <sheetData>
    <row r="2" customFormat="false" ht="41.75" hidden="false" customHeight="true" outlineLevel="0" collapsed="false">
      <c r="H2" s="1" t="s">
        <v>0</v>
      </c>
      <c r="I2" s="1"/>
      <c r="J2" s="1"/>
    </row>
    <row r="3" customFormat="false" ht="15" hidden="false" customHeight="false" outlineLevel="0" collapsed="false">
      <c r="C3" s="2" t="s">
        <v>1</v>
      </c>
      <c r="D3" s="3" t="s">
        <v>2</v>
      </c>
      <c r="E3" s="4" t="s">
        <v>3</v>
      </c>
    </row>
    <row r="4" customFormat="false" ht="15" hidden="false" customHeight="false" outlineLevel="0" collapsed="false">
      <c r="C4" s="5" t="n">
        <v>45856827</v>
      </c>
      <c r="D4" s="6" t="s">
        <v>4</v>
      </c>
      <c r="E4" s="7" t="n">
        <v>30</v>
      </c>
    </row>
    <row r="5" customFormat="false" ht="15" hidden="false" customHeight="false" outlineLevel="0" collapsed="false">
      <c r="C5" s="8" t="n">
        <v>29099936</v>
      </c>
      <c r="D5" s="9" t="n">
        <v>55663</v>
      </c>
      <c r="E5" s="10" t="n">
        <v>31</v>
      </c>
      <c r="G5" s="11" t="s">
        <v>5</v>
      </c>
      <c r="H5" s="12" t="s">
        <v>2</v>
      </c>
      <c r="J5" s="11" t="s">
        <v>5</v>
      </c>
      <c r="K5" s="12" t="s">
        <v>3</v>
      </c>
    </row>
    <row r="6" customFormat="false" ht="13.8" hidden="false" customHeight="false" outlineLevel="0" collapsed="false">
      <c r="C6" s="8" t="n">
        <v>4639128</v>
      </c>
      <c r="D6" s="9" t="n">
        <v>50895</v>
      </c>
      <c r="E6" s="10" t="n">
        <v>29</v>
      </c>
      <c r="G6" s="8" t="n">
        <v>49505709</v>
      </c>
      <c r="H6" s="13" t="n">
        <f aca="false">VLOOKUP(G6,C4:E39,2,0)</f>
        <v>85323</v>
      </c>
      <c r="J6" s="8" t="n">
        <v>49505709</v>
      </c>
      <c r="K6" s="14" t="n">
        <f aca="false">VLOOKUP(J6,C4:E39,3,0)</f>
        <v>15</v>
      </c>
    </row>
    <row r="7" customFormat="false" ht="13.8" hidden="false" customHeight="false" outlineLevel="0" collapsed="false">
      <c r="C7" s="8" t="n">
        <v>72647981</v>
      </c>
      <c r="D7" s="15" t="s">
        <v>6</v>
      </c>
      <c r="E7" s="10" t="n">
        <v>34</v>
      </c>
      <c r="G7" s="8" t="n">
        <v>59654577</v>
      </c>
      <c r="H7" s="13" t="str">
        <f aca="false">VLOOKUP(G7,C4:E39,2,0)</f>
        <v>$1,14,149</v>
      </c>
      <c r="J7" s="8" t="n">
        <v>59654577</v>
      </c>
      <c r="K7" s="14" t="n">
        <f aca="false">VLOOKUP(J7,C4:E39,3,0)</f>
        <v>4</v>
      </c>
    </row>
    <row r="8" customFormat="false" ht="13.8" hidden="false" customHeight="false" outlineLevel="0" collapsed="false">
      <c r="C8" s="8" t="n">
        <v>94270333</v>
      </c>
      <c r="D8" s="15" t="s">
        <v>7</v>
      </c>
      <c r="E8" s="10" t="n">
        <v>10</v>
      </c>
      <c r="G8" s="8" t="n">
        <v>6053307</v>
      </c>
      <c r="H8" s="13" t="n">
        <f aca="false">VLOOKUP(G8,C4:E39,2,0)</f>
        <v>85391</v>
      </c>
      <c r="J8" s="8" t="n">
        <v>6053307</v>
      </c>
      <c r="K8" s="14" t="n">
        <f aca="false">VLOOKUP(J8,C4:E39,3,0)</f>
        <v>21</v>
      </c>
    </row>
    <row r="9" customFormat="false" ht="13.8" hidden="false" customHeight="false" outlineLevel="0" collapsed="false">
      <c r="C9" s="8" t="n">
        <v>49505709</v>
      </c>
      <c r="D9" s="9" t="n">
        <v>85323</v>
      </c>
      <c r="E9" s="10" t="n">
        <v>15</v>
      </c>
      <c r="G9" s="8" t="n">
        <v>79801882</v>
      </c>
      <c r="H9" s="13" t="str">
        <f aca="false">VLOOKUP(G9,C4:E39,2,0)</f>
        <v>$1,63,027</v>
      </c>
      <c r="J9" s="8" t="n">
        <v>79801882</v>
      </c>
      <c r="K9" s="14" t="n">
        <f aca="false">VLOOKUP(J9,C4:E39,3,0)</f>
        <v>9</v>
      </c>
    </row>
    <row r="10" customFormat="false" ht="13.8" hidden="false" customHeight="false" outlineLevel="0" collapsed="false">
      <c r="C10" s="8" t="n">
        <v>11741046</v>
      </c>
      <c r="D10" s="15" t="s">
        <v>8</v>
      </c>
      <c r="E10" s="10" t="n">
        <v>11</v>
      </c>
      <c r="G10" s="8" t="n">
        <v>21281615</v>
      </c>
      <c r="H10" s="13" t="n">
        <f aca="false">VLOOKUP(G10,C4:E39,2,0)</f>
        <v>88839</v>
      </c>
      <c r="J10" s="8" t="n">
        <v>21281615</v>
      </c>
      <c r="K10" s="14" t="n">
        <f aca="false">VLOOKUP(J10,C4:E39,3,0)</f>
        <v>15</v>
      </c>
    </row>
    <row r="11" customFormat="false" ht="13.8" hidden="false" customHeight="false" outlineLevel="0" collapsed="false">
      <c r="C11" s="8" t="n">
        <v>21281615</v>
      </c>
      <c r="D11" s="9" t="n">
        <v>88839</v>
      </c>
      <c r="E11" s="10" t="n">
        <v>15</v>
      </c>
      <c r="G11" s="8" t="n">
        <v>11741046</v>
      </c>
      <c r="H11" s="13" t="str">
        <f aca="false">VLOOKUP(G11,C4:E39,2,0)</f>
        <v>$1,90,165</v>
      </c>
      <c r="J11" s="8" t="n">
        <v>11741046</v>
      </c>
      <c r="K11" s="14" t="n">
        <f aca="false">VLOOKUP(J11,C4:E39,3,0)</f>
        <v>11</v>
      </c>
    </row>
    <row r="12" customFormat="false" ht="13.8" hidden="false" customHeight="false" outlineLevel="0" collapsed="false">
      <c r="C12" s="8" t="n">
        <v>20143706</v>
      </c>
      <c r="D12" s="9" t="n">
        <v>69328</v>
      </c>
      <c r="E12" s="10" t="n">
        <v>39</v>
      </c>
      <c r="G12" s="8" t="n">
        <v>59654577</v>
      </c>
      <c r="H12" s="13" t="str">
        <f aca="false">VLOOKUP(G12,C4:E39,2,0)</f>
        <v>$1,14,149</v>
      </c>
      <c r="J12" s="8" t="n">
        <v>59654577</v>
      </c>
      <c r="K12" s="14" t="n">
        <f aca="false">VLOOKUP(J12,C4:E39,3,0)</f>
        <v>4</v>
      </c>
    </row>
    <row r="13" customFormat="false" ht="13.8" hidden="false" customHeight="false" outlineLevel="0" collapsed="false">
      <c r="C13" s="8" t="n">
        <v>44631675</v>
      </c>
      <c r="D13" s="15" t="s">
        <v>9</v>
      </c>
      <c r="E13" s="10" t="n">
        <v>10</v>
      </c>
      <c r="G13" s="8" t="n">
        <v>4639128</v>
      </c>
      <c r="H13" s="13" t="n">
        <f aca="false">VLOOKUP(G13,C4:E39,2,0)</f>
        <v>50895</v>
      </c>
      <c r="J13" s="8" t="n">
        <v>4639128</v>
      </c>
      <c r="K13" s="14" t="n">
        <f aca="false">VLOOKUP(J13,C4:E39,3,0)</f>
        <v>29</v>
      </c>
    </row>
    <row r="14" customFormat="false" ht="13.8" hidden="false" customHeight="false" outlineLevel="0" collapsed="false">
      <c r="C14" s="8" t="n">
        <v>43380927</v>
      </c>
      <c r="D14" s="15" t="s">
        <v>10</v>
      </c>
      <c r="E14" s="10" t="n">
        <v>24</v>
      </c>
      <c r="G14" s="8" t="n">
        <v>3644626</v>
      </c>
      <c r="H14" s="13" t="n">
        <f aca="false">VLOOKUP(G14,C4:E39,2,0)</f>
        <v>51565</v>
      </c>
      <c r="J14" s="8" t="n">
        <v>3644626</v>
      </c>
      <c r="K14" s="14" t="n">
        <f aca="false">VLOOKUP(J14,C4:E39,3,0)</f>
        <v>27</v>
      </c>
    </row>
    <row r="15" customFormat="false" ht="13.8" hidden="false" customHeight="false" outlineLevel="0" collapsed="false">
      <c r="C15" s="8" t="n">
        <v>59654577</v>
      </c>
      <c r="D15" s="15" t="s">
        <v>11</v>
      </c>
      <c r="E15" s="10" t="n">
        <v>4</v>
      </c>
      <c r="G15" s="8" t="n">
        <v>64162206</v>
      </c>
      <c r="H15" s="13" t="str">
        <f aca="false">VLOOKUP(G15,C4:E39,2,0)</f>
        <v>$1,70,032</v>
      </c>
      <c r="J15" s="8" t="n">
        <v>64162206</v>
      </c>
      <c r="K15" s="14" t="n">
        <f aca="false">VLOOKUP(J15,C4:E39,3,0)</f>
        <v>10</v>
      </c>
    </row>
    <row r="16" customFormat="false" ht="15" hidden="false" customHeight="false" outlineLevel="0" collapsed="false">
      <c r="C16" s="8" t="n">
        <v>3644626</v>
      </c>
      <c r="D16" s="9" t="n">
        <v>51565</v>
      </c>
      <c r="E16" s="10" t="n">
        <v>27</v>
      </c>
    </row>
    <row r="17" customFormat="false" ht="15" hidden="false" customHeight="false" outlineLevel="0" collapsed="false">
      <c r="C17" s="8" t="n">
        <v>5544349</v>
      </c>
      <c r="D17" s="15" t="s">
        <v>12</v>
      </c>
      <c r="E17" s="10" t="n">
        <v>27</v>
      </c>
    </row>
    <row r="18" customFormat="false" ht="15" hidden="false" customHeight="false" outlineLevel="0" collapsed="false">
      <c r="C18" s="8" t="n">
        <v>62909768</v>
      </c>
      <c r="D18" s="15" t="s">
        <v>13</v>
      </c>
      <c r="E18" s="10" t="n">
        <v>29</v>
      </c>
    </row>
    <row r="19" customFormat="false" ht="15" hidden="false" customHeight="false" outlineLevel="0" collapsed="false">
      <c r="C19" s="8" t="n">
        <v>54317026</v>
      </c>
      <c r="D19" s="15" t="s">
        <v>14</v>
      </c>
      <c r="E19" s="10" t="n">
        <v>20</v>
      </c>
    </row>
    <row r="20" customFormat="false" ht="15" hidden="false" customHeight="false" outlineLevel="0" collapsed="false">
      <c r="C20" s="8" t="n">
        <v>64162206</v>
      </c>
      <c r="D20" s="15" t="s">
        <v>15</v>
      </c>
      <c r="E20" s="10" t="n">
        <v>10</v>
      </c>
    </row>
    <row r="21" customFormat="false" ht="15" hidden="false" customHeight="false" outlineLevel="0" collapsed="false">
      <c r="C21" s="8" t="n">
        <v>54636987</v>
      </c>
      <c r="D21" s="9" t="n">
        <v>61359</v>
      </c>
      <c r="E21" s="10" t="n">
        <v>8</v>
      </c>
    </row>
    <row r="22" customFormat="false" ht="15" hidden="false" customHeight="false" outlineLevel="0" collapsed="false">
      <c r="C22" s="8" t="n">
        <v>6529727</v>
      </c>
      <c r="D22" s="15" t="s">
        <v>16</v>
      </c>
      <c r="E22" s="10" t="n">
        <v>14</v>
      </c>
    </row>
    <row r="23" customFormat="false" ht="15" hidden="false" customHeight="false" outlineLevel="0" collapsed="false">
      <c r="C23" s="8" t="n">
        <v>40407549</v>
      </c>
      <c r="D23" s="15" t="s">
        <v>17</v>
      </c>
      <c r="E23" s="10" t="n">
        <v>31</v>
      </c>
    </row>
    <row r="24" customFormat="false" ht="15" hidden="false" customHeight="false" outlineLevel="0" collapsed="false">
      <c r="C24" s="8" t="n">
        <v>57816494</v>
      </c>
      <c r="D24" s="15" t="s">
        <v>18</v>
      </c>
      <c r="E24" s="10" t="n">
        <v>28</v>
      </c>
    </row>
    <row r="25" customFormat="false" ht="15" hidden="false" customHeight="false" outlineLevel="0" collapsed="false">
      <c r="C25" s="8" t="n">
        <v>32776673</v>
      </c>
      <c r="D25" s="15" t="s">
        <v>19</v>
      </c>
      <c r="E25" s="10" t="n">
        <v>32</v>
      </c>
    </row>
    <row r="26" customFormat="false" ht="15" hidden="false" customHeight="false" outlineLevel="0" collapsed="false">
      <c r="C26" s="8" t="n">
        <v>14239910</v>
      </c>
      <c r="D26" s="15" t="s">
        <v>20</v>
      </c>
      <c r="E26" s="10" t="n">
        <v>28</v>
      </c>
    </row>
    <row r="27" customFormat="false" ht="15" hidden="false" customHeight="false" outlineLevel="0" collapsed="false">
      <c r="C27" s="8" t="n">
        <v>62867501</v>
      </c>
      <c r="D27" s="15" t="s">
        <v>21</v>
      </c>
      <c r="E27" s="10" t="n">
        <v>26</v>
      </c>
    </row>
    <row r="28" customFormat="false" ht="15" hidden="false" customHeight="false" outlineLevel="0" collapsed="false">
      <c r="C28" s="8" t="n">
        <v>39212594</v>
      </c>
      <c r="D28" s="15" t="s">
        <v>22</v>
      </c>
      <c r="E28" s="10" t="n">
        <v>8</v>
      </c>
    </row>
    <row r="29" customFormat="false" ht="15" hidden="false" customHeight="false" outlineLevel="0" collapsed="false">
      <c r="C29" s="8" t="n">
        <v>22050032</v>
      </c>
      <c r="D29" s="9" t="n">
        <v>71602</v>
      </c>
      <c r="E29" s="10" t="n">
        <v>2</v>
      </c>
    </row>
    <row r="30" customFormat="false" ht="15" hidden="false" customHeight="false" outlineLevel="0" collapsed="false">
      <c r="C30" s="8" t="n">
        <v>66841312</v>
      </c>
      <c r="D30" s="15" t="s">
        <v>23</v>
      </c>
      <c r="E30" s="10" t="n">
        <v>4</v>
      </c>
    </row>
    <row r="31" customFormat="false" ht="15" hidden="false" customHeight="false" outlineLevel="0" collapsed="false">
      <c r="C31" s="8" t="n">
        <v>66395645</v>
      </c>
      <c r="D31" s="9" t="n">
        <v>89334</v>
      </c>
      <c r="E31" s="10" t="n">
        <v>0</v>
      </c>
    </row>
    <row r="32" customFormat="false" ht="15" hidden="false" customHeight="false" outlineLevel="0" collapsed="false">
      <c r="C32" s="8" t="n">
        <v>89464298</v>
      </c>
      <c r="D32" s="15" t="s">
        <v>24</v>
      </c>
      <c r="E32" s="10" t="n">
        <v>25</v>
      </c>
    </row>
    <row r="33" customFormat="false" ht="15" hidden="false" customHeight="false" outlineLevel="0" collapsed="false">
      <c r="C33" s="8" t="n">
        <v>48968487</v>
      </c>
      <c r="D33" s="15" t="s">
        <v>25</v>
      </c>
      <c r="E33" s="10" t="n">
        <v>1</v>
      </c>
    </row>
    <row r="34" customFormat="false" ht="15" hidden="false" customHeight="false" outlineLevel="0" collapsed="false">
      <c r="C34" s="8" t="n">
        <v>35629192</v>
      </c>
      <c r="D34" s="15" t="s">
        <v>26</v>
      </c>
      <c r="E34" s="10" t="n">
        <v>28</v>
      </c>
    </row>
    <row r="35" customFormat="false" ht="15" hidden="false" customHeight="false" outlineLevel="0" collapsed="false">
      <c r="C35" s="8" t="n">
        <v>29110262</v>
      </c>
      <c r="D35" s="15" t="s">
        <v>27</v>
      </c>
      <c r="E35" s="10" t="n">
        <v>7</v>
      </c>
    </row>
    <row r="36" customFormat="false" ht="15" hidden="false" customHeight="false" outlineLevel="0" collapsed="false">
      <c r="C36" s="8" t="n">
        <v>6053307</v>
      </c>
      <c r="D36" s="9" t="n">
        <v>85391</v>
      </c>
      <c r="E36" s="10" t="n">
        <v>21</v>
      </c>
    </row>
    <row r="37" customFormat="false" ht="15" hidden="false" customHeight="false" outlineLevel="0" collapsed="false">
      <c r="C37" s="8" t="n">
        <v>61435949</v>
      </c>
      <c r="D37" s="15" t="s">
        <v>28</v>
      </c>
      <c r="E37" s="10" t="n">
        <v>25</v>
      </c>
    </row>
    <row r="38" customFormat="false" ht="15" hidden="false" customHeight="false" outlineLevel="0" collapsed="false">
      <c r="C38" s="8" t="n">
        <v>79801882</v>
      </c>
      <c r="D38" s="15" t="s">
        <v>29</v>
      </c>
      <c r="E38" s="10" t="n">
        <v>9</v>
      </c>
    </row>
    <row r="39" customFormat="false" ht="15" hidden="false" customHeight="false" outlineLevel="0" collapsed="false">
      <c r="C39" s="16" t="n">
        <v>53429314</v>
      </c>
      <c r="D39" s="17" t="s">
        <v>30</v>
      </c>
      <c r="E39" s="18" t="n">
        <v>20</v>
      </c>
    </row>
  </sheetData>
  <mergeCells count="1">
    <mergeCell ref="H2:J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8.54296875" defaultRowHeight="13.8" zeroHeight="false" outlineLevelRow="0" outlineLevelCol="0"/>
  <cols>
    <col collapsed="false" customWidth="true" hidden="false" outlineLevel="0" max="8" min="8" style="0" width="16"/>
    <col collapsed="false" customWidth="true" hidden="false" outlineLevel="0" max="1024" min="1023" style="0" width="9.14"/>
  </cols>
  <sheetData>
    <row r="1" customFormat="false" ht="41.75" hidden="false" customHeight="true" outlineLevel="0" collapsed="false">
      <c r="J1" s="1" t="s">
        <v>0</v>
      </c>
      <c r="K1" s="1"/>
      <c r="L1" s="1"/>
    </row>
    <row r="2" customFormat="false" ht="13.8" hidden="false" customHeight="false" outlineLevel="0" collapsed="false">
      <c r="A2" s="19" t="s">
        <v>31</v>
      </c>
      <c r="B2" s="19"/>
      <c r="C2" s="19"/>
      <c r="D2" s="19"/>
      <c r="E2" s="19"/>
      <c r="F2" s="19"/>
    </row>
    <row r="3" customFormat="false" ht="13.8" hidden="false" customHeight="false" outlineLevel="0" collapsed="false">
      <c r="A3" s="20"/>
      <c r="B3" s="21"/>
      <c r="C3" s="21" t="s">
        <v>32</v>
      </c>
      <c r="D3" s="21" t="s">
        <v>33</v>
      </c>
      <c r="E3" s="21" t="s">
        <v>34</v>
      </c>
      <c r="F3" s="22" t="s">
        <v>35</v>
      </c>
      <c r="H3" s="23" t="s">
        <v>36</v>
      </c>
    </row>
    <row r="4" customFormat="false" ht="13.8" hidden="false" customHeight="false" outlineLevel="0" collapsed="false">
      <c r="A4" s="24" t="s">
        <v>37</v>
      </c>
      <c r="B4" s="25" t="s">
        <v>38</v>
      </c>
      <c r="C4" s="26" t="n">
        <v>1</v>
      </c>
      <c r="D4" s="26" t="n">
        <v>2</v>
      </c>
      <c r="E4" s="26" t="n">
        <v>3</v>
      </c>
      <c r="F4" s="27" t="n">
        <v>4</v>
      </c>
      <c r="H4" s="28"/>
    </row>
    <row r="5" customFormat="false" ht="13.8" hidden="false" customHeight="false" outlineLevel="0" collapsed="false">
      <c r="A5" s="29" t="n">
        <v>4</v>
      </c>
      <c r="B5" s="30" t="n">
        <v>1</v>
      </c>
      <c r="C5" s="30" t="n">
        <v>9</v>
      </c>
      <c r="D5" s="30" t="n">
        <v>8</v>
      </c>
      <c r="E5" s="30" t="n">
        <v>6</v>
      </c>
      <c r="F5" s="31" t="n">
        <v>8</v>
      </c>
      <c r="H5" s="32" t="n">
        <f aca="false">VLOOKUP(A5,A5:F5,2+A5,0)</f>
        <v>8</v>
      </c>
    </row>
    <row r="6" customFormat="false" ht="13.8" hidden="false" customHeight="false" outlineLevel="0" collapsed="false">
      <c r="A6" s="29" t="n">
        <v>1</v>
      </c>
      <c r="B6" s="30" t="n">
        <v>2</v>
      </c>
      <c r="C6" s="30" t="n">
        <v>10</v>
      </c>
      <c r="D6" s="30" t="n">
        <v>0</v>
      </c>
      <c r="E6" s="30" t="n">
        <v>5</v>
      </c>
      <c r="F6" s="31" t="n">
        <v>6</v>
      </c>
      <c r="H6" s="32" t="n">
        <f aca="false">VLOOKUP(A6,A6:F6,2+A6,0)</f>
        <v>10</v>
      </c>
    </row>
    <row r="7" customFormat="false" ht="13.8" hidden="false" customHeight="false" outlineLevel="0" collapsed="false">
      <c r="A7" s="29" t="n">
        <v>3</v>
      </c>
      <c r="B7" s="30" t="n">
        <v>3</v>
      </c>
      <c r="C7" s="30" t="n">
        <v>5</v>
      </c>
      <c r="D7" s="30" t="n">
        <v>8</v>
      </c>
      <c r="E7" s="30" t="n">
        <v>10</v>
      </c>
      <c r="F7" s="31" t="n">
        <v>5</v>
      </c>
      <c r="H7" s="32" t="n">
        <f aca="false">VLOOKUP(A7,A7:F7,2+A7,0)</f>
        <v>10</v>
      </c>
    </row>
    <row r="8" customFormat="false" ht="13.8" hidden="false" customHeight="false" outlineLevel="0" collapsed="false">
      <c r="A8" s="29" t="n">
        <v>1</v>
      </c>
      <c r="B8" s="30" t="n">
        <v>4</v>
      </c>
      <c r="C8" s="30" t="n">
        <v>4</v>
      </c>
      <c r="D8" s="30" t="n">
        <v>0</v>
      </c>
      <c r="E8" s="30" t="n">
        <v>5</v>
      </c>
      <c r="F8" s="31" t="n">
        <v>2</v>
      </c>
      <c r="H8" s="32" t="n">
        <f aca="false">VLOOKUP(A8,A8:F8,2+A8,0)</f>
        <v>4</v>
      </c>
    </row>
    <row r="9" customFormat="false" ht="13.8" hidden="false" customHeight="false" outlineLevel="0" collapsed="false">
      <c r="A9" s="29" t="n">
        <v>2</v>
      </c>
      <c r="B9" s="30" t="n">
        <v>5</v>
      </c>
      <c r="C9" s="30" t="n">
        <v>9</v>
      </c>
      <c r="D9" s="30" t="n">
        <v>10</v>
      </c>
      <c r="E9" s="30" t="n">
        <v>4</v>
      </c>
      <c r="F9" s="31" t="n">
        <v>5</v>
      </c>
      <c r="H9" s="32" t="n">
        <f aca="false">VLOOKUP(A9,A9:F9,2+A9,0)</f>
        <v>10</v>
      </c>
    </row>
    <row r="10" customFormat="false" ht="13.8" hidden="false" customHeight="false" outlineLevel="0" collapsed="false">
      <c r="A10" s="29" t="n">
        <v>3</v>
      </c>
      <c r="B10" s="30" t="n">
        <v>6</v>
      </c>
      <c r="C10" s="30" t="n">
        <v>5</v>
      </c>
      <c r="D10" s="30" t="n">
        <v>2</v>
      </c>
      <c r="E10" s="30" t="n">
        <v>7</v>
      </c>
      <c r="F10" s="31" t="n">
        <v>3</v>
      </c>
      <c r="H10" s="32" t="n">
        <f aca="false">VLOOKUP(A10,A10:F10,2+A10,0)</f>
        <v>7</v>
      </c>
    </row>
    <row r="11" customFormat="false" ht="13.8" hidden="false" customHeight="false" outlineLevel="0" collapsed="false">
      <c r="A11" s="29" t="n">
        <v>1</v>
      </c>
      <c r="B11" s="30" t="n">
        <v>7</v>
      </c>
      <c r="C11" s="30" t="n">
        <v>8</v>
      </c>
      <c r="D11" s="30" t="n">
        <v>3</v>
      </c>
      <c r="E11" s="30" t="n">
        <v>1</v>
      </c>
      <c r="F11" s="31" t="n">
        <v>2</v>
      </c>
      <c r="H11" s="32" t="n">
        <f aca="false">VLOOKUP(A11,A11:F11,2+A11,0)</f>
        <v>8</v>
      </c>
    </row>
    <row r="12" customFormat="false" ht="13.8" hidden="false" customHeight="false" outlineLevel="0" collapsed="false">
      <c r="A12" s="29" t="n">
        <v>3</v>
      </c>
      <c r="B12" s="30" t="n">
        <v>8</v>
      </c>
      <c r="C12" s="30" t="n">
        <v>2</v>
      </c>
      <c r="D12" s="30" t="n">
        <v>2</v>
      </c>
      <c r="E12" s="30" t="n">
        <v>9</v>
      </c>
      <c r="F12" s="31" t="n">
        <v>2</v>
      </c>
      <c r="H12" s="32" t="n">
        <f aca="false">VLOOKUP(A12,A12:F12,2+A12,0)</f>
        <v>9</v>
      </c>
    </row>
    <row r="13" customFormat="false" ht="13.8" hidden="false" customHeight="false" outlineLevel="0" collapsed="false">
      <c r="A13" s="29" t="n">
        <v>1</v>
      </c>
      <c r="B13" s="30" t="n">
        <v>9</v>
      </c>
      <c r="C13" s="30" t="n">
        <v>8</v>
      </c>
      <c r="D13" s="30" t="n">
        <v>7</v>
      </c>
      <c r="E13" s="30" t="n">
        <v>6</v>
      </c>
      <c r="F13" s="31" t="n">
        <v>3</v>
      </c>
      <c r="H13" s="32" t="n">
        <f aca="false">VLOOKUP(A13,A13:F13,2+A13,0)</f>
        <v>8</v>
      </c>
    </row>
    <row r="14" customFormat="false" ht="13.8" hidden="false" customHeight="false" outlineLevel="0" collapsed="false">
      <c r="A14" s="29" t="n">
        <v>4</v>
      </c>
      <c r="B14" s="30" t="n">
        <v>10</v>
      </c>
      <c r="C14" s="30" t="n">
        <v>7</v>
      </c>
      <c r="D14" s="30" t="n">
        <v>0</v>
      </c>
      <c r="E14" s="30" t="n">
        <v>1</v>
      </c>
      <c r="F14" s="31" t="n">
        <v>8</v>
      </c>
      <c r="H14" s="32" t="n">
        <f aca="false">VLOOKUP(A14,A14:F14,2+A14,0)</f>
        <v>8</v>
      </c>
    </row>
    <row r="15" customFormat="false" ht="13.8" hidden="false" customHeight="false" outlineLevel="0" collapsed="false">
      <c r="A15" s="29" t="n">
        <v>3</v>
      </c>
      <c r="B15" s="30" t="n">
        <v>11</v>
      </c>
      <c r="C15" s="30" t="n">
        <v>8</v>
      </c>
      <c r="D15" s="30" t="n">
        <v>1</v>
      </c>
      <c r="E15" s="30" t="n">
        <v>6</v>
      </c>
      <c r="F15" s="31" t="n">
        <v>6</v>
      </c>
      <c r="H15" s="32" t="n">
        <f aca="false">VLOOKUP(A15,A15:F15,2+A15,0)</f>
        <v>6</v>
      </c>
    </row>
    <row r="16" customFormat="false" ht="13.8" hidden="false" customHeight="false" outlineLevel="0" collapsed="false">
      <c r="A16" s="29" t="n">
        <v>2</v>
      </c>
      <c r="B16" s="30" t="n">
        <v>12</v>
      </c>
      <c r="C16" s="30" t="n">
        <v>0</v>
      </c>
      <c r="D16" s="30" t="n">
        <v>7</v>
      </c>
      <c r="E16" s="30" t="n">
        <v>1</v>
      </c>
      <c r="F16" s="31" t="n">
        <v>2</v>
      </c>
      <c r="H16" s="32" t="n">
        <f aca="false">VLOOKUP(A16,A16:F16,2+A16,0)</f>
        <v>7</v>
      </c>
    </row>
    <row r="17" customFormat="false" ht="13.8" hidden="false" customHeight="false" outlineLevel="0" collapsed="false">
      <c r="A17" s="29" t="n">
        <v>1</v>
      </c>
      <c r="B17" s="30" t="n">
        <v>13</v>
      </c>
      <c r="C17" s="30" t="n">
        <v>9</v>
      </c>
      <c r="D17" s="30" t="n">
        <v>0</v>
      </c>
      <c r="E17" s="30" t="n">
        <v>5</v>
      </c>
      <c r="F17" s="31" t="n">
        <v>4</v>
      </c>
      <c r="H17" s="32" t="n">
        <f aca="false">VLOOKUP(A17,A17:F17,2+A17,0)</f>
        <v>9</v>
      </c>
    </row>
    <row r="18" customFormat="false" ht="13.8" hidden="false" customHeight="false" outlineLevel="0" collapsed="false">
      <c r="A18" s="29" t="n">
        <v>4</v>
      </c>
      <c r="B18" s="30" t="n">
        <v>14</v>
      </c>
      <c r="C18" s="30" t="n">
        <v>9</v>
      </c>
      <c r="D18" s="30" t="n">
        <v>2</v>
      </c>
      <c r="E18" s="30" t="n">
        <v>2</v>
      </c>
      <c r="F18" s="31" t="n">
        <v>7</v>
      </c>
      <c r="H18" s="32" t="n">
        <f aca="false">VLOOKUP(A18,A18:F18,2+A18,0)</f>
        <v>7</v>
      </c>
    </row>
    <row r="19" customFormat="false" ht="13.8" hidden="false" customHeight="false" outlineLevel="0" collapsed="false">
      <c r="A19" s="29" t="n">
        <v>3</v>
      </c>
      <c r="B19" s="30" t="n">
        <v>15</v>
      </c>
      <c r="C19" s="30" t="n">
        <v>1</v>
      </c>
      <c r="D19" s="30" t="n">
        <v>3</v>
      </c>
      <c r="E19" s="30" t="n">
        <v>8</v>
      </c>
      <c r="F19" s="31" t="n">
        <v>4</v>
      </c>
      <c r="H19" s="32" t="n">
        <f aca="false">VLOOKUP(A19,A19:F19,2+A19,0)</f>
        <v>8</v>
      </c>
    </row>
    <row r="20" customFormat="false" ht="13.8" hidden="false" customHeight="false" outlineLevel="0" collapsed="false">
      <c r="A20" s="29" t="n">
        <v>1</v>
      </c>
      <c r="B20" s="30" t="n">
        <v>16</v>
      </c>
      <c r="C20" s="30" t="n">
        <v>9</v>
      </c>
      <c r="D20" s="30" t="n">
        <v>6</v>
      </c>
      <c r="E20" s="30" t="n">
        <v>4</v>
      </c>
      <c r="F20" s="31" t="n">
        <v>5</v>
      </c>
      <c r="H20" s="32" t="n">
        <f aca="false">VLOOKUP(A20,A20:F20,2+A20,0)</f>
        <v>9</v>
      </c>
    </row>
    <row r="21" customFormat="false" ht="13.8" hidden="false" customHeight="false" outlineLevel="0" collapsed="false">
      <c r="A21" s="29" t="n">
        <v>1</v>
      </c>
      <c r="B21" s="30" t="n">
        <v>17</v>
      </c>
      <c r="C21" s="30" t="n">
        <v>8</v>
      </c>
      <c r="D21" s="30" t="n">
        <v>0</v>
      </c>
      <c r="E21" s="30" t="n">
        <v>5</v>
      </c>
      <c r="F21" s="31" t="n">
        <v>0</v>
      </c>
      <c r="H21" s="32" t="n">
        <f aca="false">VLOOKUP(A21,A21:F21,2+A21,0)</f>
        <v>8</v>
      </c>
    </row>
    <row r="22" customFormat="false" ht="13.8" hidden="false" customHeight="false" outlineLevel="0" collapsed="false">
      <c r="A22" s="29" t="n">
        <v>2</v>
      </c>
      <c r="B22" s="30" t="n">
        <v>18</v>
      </c>
      <c r="C22" s="30" t="n">
        <v>6</v>
      </c>
      <c r="D22" s="30" t="n">
        <v>7</v>
      </c>
      <c r="E22" s="30" t="n">
        <v>6</v>
      </c>
      <c r="F22" s="31" t="n">
        <v>3</v>
      </c>
      <c r="H22" s="32" t="n">
        <f aca="false">VLOOKUP(A22,A22:F22,2+A22,0)</f>
        <v>7</v>
      </c>
    </row>
    <row r="23" customFormat="false" ht="13.8" hidden="false" customHeight="false" outlineLevel="0" collapsed="false">
      <c r="A23" s="29" t="n">
        <v>3</v>
      </c>
      <c r="B23" s="30" t="n">
        <v>19</v>
      </c>
      <c r="C23" s="30" t="n">
        <v>3</v>
      </c>
      <c r="D23" s="30" t="n">
        <v>4</v>
      </c>
      <c r="E23" s="30" t="n">
        <v>5</v>
      </c>
      <c r="F23" s="31" t="n">
        <v>4</v>
      </c>
      <c r="H23" s="32" t="n">
        <f aca="false">VLOOKUP(A23,A23:F23,2+A23,0)</f>
        <v>5</v>
      </c>
    </row>
    <row r="24" customFormat="false" ht="13.8" hidden="false" customHeight="false" outlineLevel="0" collapsed="false">
      <c r="A24" s="29" t="n">
        <v>2</v>
      </c>
      <c r="B24" s="30" t="n">
        <v>20</v>
      </c>
      <c r="C24" s="30" t="n">
        <v>3</v>
      </c>
      <c r="D24" s="30" t="n">
        <v>9</v>
      </c>
      <c r="E24" s="30" t="n">
        <v>4</v>
      </c>
      <c r="F24" s="31" t="n">
        <v>4</v>
      </c>
      <c r="H24" s="32" t="n">
        <f aca="false">VLOOKUP(A24,A24:F24,2+A24,0)</f>
        <v>9</v>
      </c>
    </row>
    <row r="25" customFormat="false" ht="13.8" hidden="false" customHeight="false" outlineLevel="0" collapsed="false">
      <c r="A25" s="29" t="n">
        <v>3</v>
      </c>
      <c r="B25" s="30" t="n">
        <v>21</v>
      </c>
      <c r="C25" s="30" t="n">
        <v>1</v>
      </c>
      <c r="D25" s="30" t="n">
        <v>6</v>
      </c>
      <c r="E25" s="30" t="n">
        <v>9</v>
      </c>
      <c r="F25" s="31" t="n">
        <v>1</v>
      </c>
      <c r="H25" s="32" t="n">
        <f aca="false">VLOOKUP(A25,A25:F25,2+A25,0)</f>
        <v>9</v>
      </c>
    </row>
    <row r="26" customFormat="false" ht="13.8" hidden="false" customHeight="false" outlineLevel="0" collapsed="false">
      <c r="A26" s="29" t="n">
        <v>4</v>
      </c>
      <c r="B26" s="30" t="n">
        <v>22</v>
      </c>
      <c r="C26" s="30" t="n">
        <v>5</v>
      </c>
      <c r="D26" s="30" t="n">
        <v>1</v>
      </c>
      <c r="E26" s="30" t="n">
        <v>3</v>
      </c>
      <c r="F26" s="31" t="n">
        <v>7</v>
      </c>
      <c r="H26" s="32" t="n">
        <f aca="false">VLOOKUP(A26,A26:F26,2+A26,0)</f>
        <v>7</v>
      </c>
    </row>
    <row r="27" customFormat="false" ht="13.8" hidden="false" customHeight="false" outlineLevel="0" collapsed="false">
      <c r="A27" s="29" t="n">
        <v>3</v>
      </c>
      <c r="B27" s="30" t="n">
        <v>23</v>
      </c>
      <c r="C27" s="30" t="n">
        <v>8</v>
      </c>
      <c r="D27" s="30" t="n">
        <v>7</v>
      </c>
      <c r="E27" s="30" t="n">
        <v>10</v>
      </c>
      <c r="F27" s="31" t="n">
        <v>2</v>
      </c>
      <c r="H27" s="32" t="n">
        <f aca="false">VLOOKUP(A27,A27:F27,2+A27,0)</f>
        <v>10</v>
      </c>
    </row>
    <row r="28" customFormat="false" ht="13.8" hidden="false" customHeight="false" outlineLevel="0" collapsed="false">
      <c r="A28" s="29" t="n">
        <v>3</v>
      </c>
      <c r="B28" s="30" t="n">
        <v>24</v>
      </c>
      <c r="C28" s="30" t="n">
        <v>3</v>
      </c>
      <c r="D28" s="30" t="n">
        <v>6</v>
      </c>
      <c r="E28" s="30" t="n">
        <v>4</v>
      </c>
      <c r="F28" s="31" t="n">
        <v>4</v>
      </c>
      <c r="H28" s="32" t="n">
        <f aca="false">VLOOKUP(A28,A28:F28,2+A28,0)</f>
        <v>4</v>
      </c>
    </row>
    <row r="29" customFormat="false" ht="13.8" hidden="false" customHeight="false" outlineLevel="0" collapsed="false">
      <c r="A29" s="29" t="n">
        <v>1</v>
      </c>
      <c r="B29" s="30" t="n">
        <v>25</v>
      </c>
      <c r="C29" s="30" t="n">
        <v>7</v>
      </c>
      <c r="D29" s="30" t="n">
        <v>1</v>
      </c>
      <c r="E29" s="30" t="n">
        <v>1</v>
      </c>
      <c r="F29" s="31" t="n">
        <v>0</v>
      </c>
      <c r="H29" s="32" t="n">
        <f aca="false">VLOOKUP(A29,A29:F29,2+A29,0)</f>
        <v>7</v>
      </c>
    </row>
    <row r="30" customFormat="false" ht="13.8" hidden="false" customHeight="false" outlineLevel="0" collapsed="false">
      <c r="A30" s="29" t="n">
        <v>3</v>
      </c>
      <c r="B30" s="30" t="n">
        <v>26</v>
      </c>
      <c r="C30" s="30" t="n">
        <v>0</v>
      </c>
      <c r="D30" s="30" t="n">
        <v>9</v>
      </c>
      <c r="E30" s="30" t="n">
        <v>8</v>
      </c>
      <c r="F30" s="31" t="n">
        <v>1</v>
      </c>
      <c r="H30" s="32" t="n">
        <f aca="false">VLOOKUP(A30,A30:F30,2+A30,0)</f>
        <v>8</v>
      </c>
    </row>
    <row r="31" customFormat="false" ht="13.8" hidden="false" customHeight="false" outlineLevel="0" collapsed="false">
      <c r="A31" s="29" t="n">
        <v>2</v>
      </c>
      <c r="B31" s="30" t="n">
        <v>27</v>
      </c>
      <c r="C31" s="30" t="n">
        <v>3</v>
      </c>
      <c r="D31" s="30" t="n">
        <v>9</v>
      </c>
      <c r="E31" s="30" t="n">
        <v>1</v>
      </c>
      <c r="F31" s="31" t="n">
        <v>5</v>
      </c>
      <c r="H31" s="32" t="n">
        <f aca="false">VLOOKUP(A31,A31:F31,2+A31,0)</f>
        <v>9</v>
      </c>
    </row>
    <row r="32" customFormat="false" ht="13.8" hidden="false" customHeight="false" outlineLevel="0" collapsed="false">
      <c r="A32" s="29" t="n">
        <v>2</v>
      </c>
      <c r="B32" s="30" t="n">
        <v>28</v>
      </c>
      <c r="C32" s="30" t="n">
        <v>2</v>
      </c>
      <c r="D32" s="30" t="n">
        <v>4</v>
      </c>
      <c r="E32" s="30" t="n">
        <v>0</v>
      </c>
      <c r="F32" s="31" t="n">
        <v>1</v>
      </c>
      <c r="H32" s="32" t="n">
        <f aca="false">VLOOKUP(A32,A32:F32,2+A32,0)</f>
        <v>4</v>
      </c>
    </row>
    <row r="33" customFormat="false" ht="13.8" hidden="false" customHeight="false" outlineLevel="0" collapsed="false">
      <c r="A33" s="29" t="n">
        <v>2</v>
      </c>
      <c r="B33" s="30" t="n">
        <v>29</v>
      </c>
      <c r="C33" s="30" t="n">
        <v>1</v>
      </c>
      <c r="D33" s="30" t="n">
        <v>6</v>
      </c>
      <c r="E33" s="30" t="n">
        <v>7</v>
      </c>
      <c r="F33" s="31" t="n">
        <v>3</v>
      </c>
      <c r="H33" s="32" t="n">
        <f aca="false">VLOOKUP(A33,A33:F33,2+A33,0)</f>
        <v>6</v>
      </c>
    </row>
    <row r="34" customFormat="false" ht="13.8" hidden="false" customHeight="false" outlineLevel="0" collapsed="false">
      <c r="A34" s="29" t="n">
        <v>2</v>
      </c>
      <c r="B34" s="30" t="n">
        <v>30</v>
      </c>
      <c r="C34" s="30" t="n">
        <v>2</v>
      </c>
      <c r="D34" s="30" t="n">
        <v>3</v>
      </c>
      <c r="E34" s="30" t="n">
        <v>3</v>
      </c>
      <c r="F34" s="31" t="n">
        <v>0</v>
      </c>
      <c r="H34" s="32" t="n">
        <f aca="false">VLOOKUP(A34,A34:F34,2+A34,0)</f>
        <v>3</v>
      </c>
    </row>
    <row r="35" customFormat="false" ht="13.8" hidden="false" customHeight="false" outlineLevel="0" collapsed="false">
      <c r="A35" s="29" t="n">
        <v>4</v>
      </c>
      <c r="B35" s="30" t="n">
        <v>31</v>
      </c>
      <c r="C35" s="30" t="n">
        <v>3</v>
      </c>
      <c r="D35" s="30" t="n">
        <v>5</v>
      </c>
      <c r="E35" s="30" t="n">
        <v>4</v>
      </c>
      <c r="F35" s="31" t="n">
        <v>8</v>
      </c>
      <c r="H35" s="32" t="n">
        <f aca="false">VLOOKUP(A35,A35:F35,2+A35,0)</f>
        <v>8</v>
      </c>
    </row>
    <row r="36" customFormat="false" ht="13.8" hidden="false" customHeight="false" outlineLevel="0" collapsed="false">
      <c r="A36" s="29" t="n">
        <v>4</v>
      </c>
      <c r="B36" s="30" t="n">
        <v>32</v>
      </c>
      <c r="C36" s="30" t="n">
        <v>1</v>
      </c>
      <c r="D36" s="30" t="n">
        <v>1</v>
      </c>
      <c r="E36" s="30" t="n">
        <v>3</v>
      </c>
      <c r="F36" s="31" t="n">
        <v>7</v>
      </c>
      <c r="H36" s="32" t="n">
        <f aca="false">VLOOKUP(A36,A36:F36,2+A36,0)</f>
        <v>7</v>
      </c>
    </row>
    <row r="37" customFormat="false" ht="13.8" hidden="false" customHeight="false" outlineLevel="0" collapsed="false">
      <c r="A37" s="29" t="n">
        <v>4</v>
      </c>
      <c r="B37" s="30" t="n">
        <v>33</v>
      </c>
      <c r="C37" s="30" t="n">
        <v>5</v>
      </c>
      <c r="D37" s="30" t="n">
        <v>1</v>
      </c>
      <c r="E37" s="30" t="n">
        <v>2</v>
      </c>
      <c r="F37" s="31" t="n">
        <v>6</v>
      </c>
      <c r="H37" s="32" t="n">
        <f aca="false">VLOOKUP(A37,A37:F37,2+A37,0)</f>
        <v>6</v>
      </c>
    </row>
    <row r="38" customFormat="false" ht="13.8" hidden="false" customHeight="false" outlineLevel="0" collapsed="false">
      <c r="A38" s="29" t="n">
        <v>1</v>
      </c>
      <c r="B38" s="30" t="n">
        <v>34</v>
      </c>
      <c r="C38" s="30" t="n">
        <v>8</v>
      </c>
      <c r="D38" s="30" t="n">
        <v>2</v>
      </c>
      <c r="E38" s="30" t="n">
        <v>3</v>
      </c>
      <c r="F38" s="31" t="n">
        <v>3</v>
      </c>
      <c r="H38" s="32" t="n">
        <f aca="false">VLOOKUP(A38,A38:F38,2+A38,0)</f>
        <v>8</v>
      </c>
    </row>
    <row r="39" customFormat="false" ht="13.8" hidden="false" customHeight="false" outlineLevel="0" collapsed="false">
      <c r="A39" s="29" t="n">
        <v>4</v>
      </c>
      <c r="B39" s="30" t="n">
        <v>68</v>
      </c>
      <c r="C39" s="30" t="n">
        <v>4</v>
      </c>
      <c r="D39" s="30" t="n">
        <v>3</v>
      </c>
      <c r="E39" s="30" t="n">
        <v>1</v>
      </c>
      <c r="F39" s="31" t="n">
        <v>7</v>
      </c>
      <c r="H39" s="32" t="n">
        <f aca="false">VLOOKUP(A39,A39:F39,2+A39,0)</f>
        <v>7</v>
      </c>
    </row>
    <row r="40" customFormat="false" ht="13.8" hidden="false" customHeight="false" outlineLevel="0" collapsed="false">
      <c r="A40" s="29" t="n">
        <v>3</v>
      </c>
      <c r="B40" s="30" t="n">
        <v>69</v>
      </c>
      <c r="C40" s="30" t="n">
        <v>4</v>
      </c>
      <c r="D40" s="30" t="n">
        <v>4</v>
      </c>
      <c r="E40" s="30" t="n">
        <v>7</v>
      </c>
      <c r="F40" s="31" t="n">
        <v>2</v>
      </c>
      <c r="H40" s="32" t="n">
        <f aca="false">VLOOKUP(A40,A40:F40,2+A40,0)</f>
        <v>7</v>
      </c>
    </row>
    <row r="41" customFormat="false" ht="13.8" hidden="false" customHeight="false" outlineLevel="0" collapsed="false">
      <c r="A41" s="29" t="n">
        <v>1</v>
      </c>
      <c r="B41" s="30" t="n">
        <v>70</v>
      </c>
      <c r="C41" s="30" t="n">
        <v>9</v>
      </c>
      <c r="D41" s="30" t="n">
        <v>0</v>
      </c>
      <c r="E41" s="30" t="n">
        <v>3</v>
      </c>
      <c r="F41" s="31" t="n">
        <v>4</v>
      </c>
      <c r="H41" s="32" t="n">
        <f aca="false">VLOOKUP(A41,A41:F41,2+A41,0)</f>
        <v>9</v>
      </c>
    </row>
    <row r="42" customFormat="false" ht="13.8" hidden="false" customHeight="false" outlineLevel="0" collapsed="false">
      <c r="A42" s="29" t="n">
        <v>1</v>
      </c>
      <c r="B42" s="30" t="n">
        <v>71</v>
      </c>
      <c r="C42" s="30" t="n">
        <v>3</v>
      </c>
      <c r="D42" s="30" t="n">
        <v>4</v>
      </c>
      <c r="E42" s="30" t="n">
        <v>2</v>
      </c>
      <c r="F42" s="31" t="n">
        <v>2</v>
      </c>
      <c r="H42" s="32" t="n">
        <f aca="false">VLOOKUP(A42,A42:F42,2+A42,0)</f>
        <v>3</v>
      </c>
    </row>
    <row r="43" customFormat="false" ht="13.8" hidden="false" customHeight="false" outlineLevel="0" collapsed="false">
      <c r="A43" s="29" t="n">
        <v>2</v>
      </c>
      <c r="B43" s="30" t="n">
        <v>72</v>
      </c>
      <c r="C43" s="30" t="n">
        <v>2</v>
      </c>
      <c r="D43" s="30" t="n">
        <v>9</v>
      </c>
      <c r="E43" s="30" t="n">
        <v>9</v>
      </c>
      <c r="F43" s="31" t="n">
        <v>7</v>
      </c>
      <c r="H43" s="32" t="n">
        <f aca="false">VLOOKUP(A43,A43:F43,2+A43,0)</f>
        <v>9</v>
      </c>
    </row>
    <row r="44" customFormat="false" ht="13.8" hidden="false" customHeight="false" outlineLevel="0" collapsed="false">
      <c r="A44" s="29" t="n">
        <v>1</v>
      </c>
      <c r="B44" s="30" t="n">
        <v>73</v>
      </c>
      <c r="C44" s="30" t="n">
        <v>2</v>
      </c>
      <c r="D44" s="30" t="n">
        <v>2</v>
      </c>
      <c r="E44" s="30" t="n">
        <v>1</v>
      </c>
      <c r="F44" s="31" t="n">
        <v>2</v>
      </c>
      <c r="H44" s="32" t="n">
        <f aca="false">VLOOKUP(A44,A44:F44,2+A44,0)</f>
        <v>2</v>
      </c>
    </row>
    <row r="45" customFormat="false" ht="13.8" hidden="false" customHeight="false" outlineLevel="0" collapsed="false">
      <c r="A45" s="29" t="n">
        <v>3</v>
      </c>
      <c r="B45" s="30" t="n">
        <v>74</v>
      </c>
      <c r="C45" s="30" t="n">
        <v>5</v>
      </c>
      <c r="D45" s="30" t="n">
        <v>8</v>
      </c>
      <c r="E45" s="30" t="n">
        <v>10</v>
      </c>
      <c r="F45" s="31" t="n">
        <v>0</v>
      </c>
      <c r="H45" s="32" t="n">
        <f aca="false">VLOOKUP(A45,A45:F45,2+A45,0)</f>
        <v>10</v>
      </c>
    </row>
    <row r="46" customFormat="false" ht="13.8" hidden="false" customHeight="false" outlineLevel="0" collapsed="false">
      <c r="A46" s="29" t="n">
        <v>2</v>
      </c>
      <c r="B46" s="30" t="n">
        <v>75</v>
      </c>
      <c r="C46" s="30" t="n">
        <v>5</v>
      </c>
      <c r="D46" s="30" t="n">
        <v>9</v>
      </c>
      <c r="E46" s="30" t="n">
        <v>1</v>
      </c>
      <c r="F46" s="31" t="n">
        <v>2</v>
      </c>
      <c r="H46" s="32" t="n">
        <f aca="false">VLOOKUP(A46,A46:F46,2+A46,0)</f>
        <v>9</v>
      </c>
    </row>
    <row r="47" customFormat="false" ht="13.8" hidden="false" customHeight="false" outlineLevel="0" collapsed="false">
      <c r="A47" s="29" t="n">
        <v>4</v>
      </c>
      <c r="B47" s="30" t="n">
        <v>76</v>
      </c>
      <c r="C47" s="30" t="n">
        <v>9</v>
      </c>
      <c r="D47" s="30" t="n">
        <v>9</v>
      </c>
      <c r="E47" s="30" t="n">
        <v>2</v>
      </c>
      <c r="F47" s="31" t="n">
        <v>7</v>
      </c>
      <c r="H47" s="32" t="n">
        <f aca="false">VLOOKUP(A47,A47:F47,2+A47,0)</f>
        <v>7</v>
      </c>
    </row>
    <row r="48" customFormat="false" ht="13.8" hidden="false" customHeight="false" outlineLevel="0" collapsed="false">
      <c r="A48" s="29" t="n">
        <v>1</v>
      </c>
      <c r="B48" s="30" t="n">
        <v>77</v>
      </c>
      <c r="C48" s="30" t="n">
        <v>2</v>
      </c>
      <c r="D48" s="30" t="n">
        <v>0</v>
      </c>
      <c r="E48" s="30" t="n">
        <v>0</v>
      </c>
      <c r="F48" s="31" t="n">
        <v>0</v>
      </c>
      <c r="H48" s="32" t="n">
        <f aca="false">VLOOKUP(A48,A48:F48,2+A48,0)</f>
        <v>2</v>
      </c>
    </row>
    <row r="49" customFormat="false" ht="13.8" hidden="false" customHeight="false" outlineLevel="0" collapsed="false">
      <c r="A49" s="29" t="n">
        <v>2</v>
      </c>
      <c r="B49" s="30" t="n">
        <v>78</v>
      </c>
      <c r="C49" s="30" t="n">
        <v>7</v>
      </c>
      <c r="D49" s="30" t="n">
        <v>8</v>
      </c>
      <c r="E49" s="30" t="n">
        <v>6</v>
      </c>
      <c r="F49" s="31" t="n">
        <v>5</v>
      </c>
      <c r="H49" s="32" t="n">
        <f aca="false">VLOOKUP(A49,A49:F49,2+A49,0)</f>
        <v>8</v>
      </c>
    </row>
    <row r="50" customFormat="false" ht="13.8" hidden="false" customHeight="false" outlineLevel="0" collapsed="false">
      <c r="A50" s="29" t="n">
        <v>2</v>
      </c>
      <c r="B50" s="30" t="n">
        <v>79</v>
      </c>
      <c r="C50" s="30" t="n">
        <v>2</v>
      </c>
      <c r="D50" s="30" t="n">
        <v>4</v>
      </c>
      <c r="E50" s="30" t="n">
        <v>2</v>
      </c>
      <c r="F50" s="31" t="n">
        <v>3</v>
      </c>
      <c r="H50" s="32" t="n">
        <f aca="false">VLOOKUP(A50,A50:F50,2+A50,0)</f>
        <v>4</v>
      </c>
    </row>
    <row r="51" customFormat="false" ht="13.8" hidden="false" customHeight="false" outlineLevel="0" collapsed="false">
      <c r="A51" s="33" t="n">
        <v>4</v>
      </c>
      <c r="B51" s="34" t="n">
        <v>80</v>
      </c>
      <c r="C51" s="34" t="n">
        <v>0</v>
      </c>
      <c r="D51" s="34" t="n">
        <v>0</v>
      </c>
      <c r="E51" s="34" t="n">
        <v>2</v>
      </c>
      <c r="F51" s="35" t="n">
        <v>7</v>
      </c>
      <c r="H51" s="32" t="n">
        <f aca="false">VLOOKUP(A51,A51:F51,2+A51,0)</f>
        <v>7</v>
      </c>
    </row>
  </sheetData>
  <mergeCells count="2">
    <mergeCell ref="J1:L1"/>
    <mergeCell ref="A2:F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4.43"/>
    <col collapsed="false" customWidth="true" hidden="false" outlineLevel="0" max="2" min="2" style="0" width="11.57"/>
    <col collapsed="false" customWidth="true" hidden="false" outlineLevel="0" max="4" min="4" style="0" width="12.57"/>
    <col collapsed="false" customWidth="true" hidden="false" outlineLevel="0" max="5" min="5" style="0" width="11.28"/>
  </cols>
  <sheetData>
    <row r="1" customFormat="false" ht="41.75" hidden="false" customHeight="true" outlineLevel="0" collapsed="false">
      <c r="A1" s="36" t="s">
        <v>39</v>
      </c>
      <c r="B1" s="37" t="s">
        <v>40</v>
      </c>
      <c r="D1" s="36" t="s">
        <v>41</v>
      </c>
      <c r="E1" s="37" t="s">
        <v>40</v>
      </c>
      <c r="H1" s="1" t="s">
        <v>0</v>
      </c>
      <c r="I1" s="1"/>
      <c r="J1" s="1"/>
    </row>
    <row r="2" customFormat="false" ht="15" hidden="false" customHeight="false" outlineLevel="0" collapsed="false">
      <c r="A2" s="38" t="n">
        <v>0</v>
      </c>
      <c r="B2" s="39" t="n">
        <v>0</v>
      </c>
      <c r="D2" s="40" t="n">
        <v>7</v>
      </c>
      <c r="E2" s="14" t="n">
        <f aca="false">VLOOKUP(D2,A2:B6,2,1)</f>
        <v>11000</v>
      </c>
    </row>
    <row r="3" customFormat="false" ht="13.8" hidden="false" customHeight="false" outlineLevel="0" collapsed="false">
      <c r="A3" s="40" t="n">
        <v>1</v>
      </c>
      <c r="B3" s="41" t="n">
        <v>12000</v>
      </c>
      <c r="D3" s="40" t="n">
        <v>18</v>
      </c>
      <c r="E3" s="14" t="n">
        <f aca="false">VLOOKUP(D3,A2:B6,2,1)</f>
        <v>10000</v>
      </c>
    </row>
    <row r="4" customFormat="false" ht="13.8" hidden="false" customHeight="false" outlineLevel="0" collapsed="false">
      <c r="A4" s="40" t="n">
        <v>6</v>
      </c>
      <c r="B4" s="41" t="n">
        <v>11000</v>
      </c>
      <c r="D4" s="40" t="n">
        <v>15</v>
      </c>
      <c r="E4" s="14" t="n">
        <f aca="false">VLOOKUP(D4,A2:B6,2,1)</f>
        <v>10000</v>
      </c>
    </row>
    <row r="5" customFormat="false" ht="13.8" hidden="false" customHeight="false" outlineLevel="0" collapsed="false">
      <c r="A5" s="40" t="n">
        <v>11</v>
      </c>
      <c r="B5" s="41" t="n">
        <v>10000</v>
      </c>
      <c r="D5" s="40" t="n">
        <v>10</v>
      </c>
      <c r="E5" s="14" t="n">
        <f aca="false">VLOOKUP(D5,A2:B6,2,1)</f>
        <v>11000</v>
      </c>
    </row>
    <row r="6" customFormat="false" ht="13.8" hidden="false" customHeight="false" outlineLevel="0" collapsed="false">
      <c r="A6" s="42" t="n">
        <v>21</v>
      </c>
      <c r="B6" s="43" t="n">
        <v>9000</v>
      </c>
      <c r="D6" s="40" t="n">
        <v>5</v>
      </c>
      <c r="E6" s="14" t="n">
        <f aca="false">VLOOKUP(D6,A2:B6,2,1)</f>
        <v>12000</v>
      </c>
    </row>
    <row r="7" customFormat="false" ht="13.8" hidden="false" customHeight="false" outlineLevel="0" collapsed="false">
      <c r="D7" s="40" t="n">
        <v>24</v>
      </c>
      <c r="E7" s="14" t="n">
        <f aca="false">VLOOKUP(D7,A2:B6,2,1)</f>
        <v>9000</v>
      </c>
    </row>
    <row r="8" customFormat="false" ht="13.8" hidden="false" customHeight="false" outlineLevel="0" collapsed="false">
      <c r="D8" s="40" t="n">
        <v>17</v>
      </c>
      <c r="E8" s="14" t="n">
        <f aca="false">VLOOKUP(D8,A2:B6,2,1)</f>
        <v>10000</v>
      </c>
    </row>
    <row r="9" customFormat="false" ht="13.8" hidden="false" customHeight="false" outlineLevel="0" collapsed="false">
      <c r="D9" s="40" t="n">
        <v>7</v>
      </c>
      <c r="E9" s="14" t="n">
        <f aca="false">VLOOKUP(D9,A2:B6,2,1)</f>
        <v>11000</v>
      </c>
    </row>
    <row r="10" customFormat="false" ht="13.8" hidden="false" customHeight="false" outlineLevel="0" collapsed="false">
      <c r="D10" s="40" t="n">
        <v>12</v>
      </c>
      <c r="E10" s="14" t="n">
        <f aca="false">VLOOKUP(D10,A2:B6,2,1)</f>
        <v>10000</v>
      </c>
    </row>
    <row r="11" customFormat="false" ht="13.8" hidden="false" customHeight="false" outlineLevel="0" collapsed="false">
      <c r="D11" s="42" t="n">
        <v>17</v>
      </c>
      <c r="E11" s="14" t="n">
        <f aca="false">VLOOKUP(D11,A2:B6,2,1)</f>
        <v>10000</v>
      </c>
    </row>
  </sheetData>
  <mergeCells count="1">
    <mergeCell ref="H1:J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H22" activeCellId="0" sqref="H22"/>
    </sheetView>
  </sheetViews>
  <sheetFormatPr defaultColWidth="8.54296875" defaultRowHeight="15" zeroHeight="false" outlineLevelRow="0" outlineLevelCol="0"/>
  <cols>
    <col collapsed="false" customWidth="true" hidden="false" outlineLevel="0" max="5" min="5" style="0" width="15.32"/>
  </cols>
  <sheetData>
    <row r="1" customFormat="false" ht="13.8" hidden="false" customHeight="false" outlineLevel="0" collapsed="false">
      <c r="F1" s="44" t="s">
        <v>42</v>
      </c>
    </row>
    <row r="2" customFormat="false" ht="15" hidden="false" customHeight="false" outlineLevel="0" collapsed="false">
      <c r="F2" s="45" t="s">
        <v>43</v>
      </c>
    </row>
    <row r="3" customFormat="false" ht="15" hidden="false" customHeight="false" outlineLevel="0" collapsed="false">
      <c r="F3" s="45" t="s">
        <v>44</v>
      </c>
    </row>
    <row r="4" customFormat="false" ht="15" hidden="false" customHeight="false" outlineLevel="0" collapsed="false">
      <c r="F4" s="45" t="s">
        <v>45</v>
      </c>
    </row>
    <row r="5" customFormat="false" ht="15" hidden="false" customHeight="false" outlineLevel="0" collapsed="false">
      <c r="F5" s="45" t="s">
        <v>46</v>
      </c>
    </row>
    <row r="6" customFormat="false" ht="15" hidden="false" customHeight="false" outlineLevel="0" collapsed="false">
      <c r="F6" s="45" t="s">
        <v>47</v>
      </c>
    </row>
    <row r="7" customFormat="false" ht="15" hidden="false" customHeight="false" outlineLevel="0" collapsed="false">
      <c r="F7" s="46" t="s">
        <v>42</v>
      </c>
    </row>
    <row r="9" customFormat="false" ht="15" hidden="false" customHeight="false" outlineLevel="0" collapsed="false">
      <c r="A9" s="47" t="s">
        <v>48</v>
      </c>
      <c r="B9" s="48"/>
      <c r="C9" s="48" t="s">
        <v>49</v>
      </c>
      <c r="D9" s="48" t="s">
        <v>43</v>
      </c>
      <c r="E9" s="48" t="s">
        <v>42</v>
      </c>
      <c r="F9" s="48" t="s">
        <v>44</v>
      </c>
      <c r="G9" s="48" t="s">
        <v>45</v>
      </c>
      <c r="H9" s="48" t="s">
        <v>50</v>
      </c>
      <c r="I9" s="48" t="s">
        <v>46</v>
      </c>
      <c r="J9" s="49" t="s">
        <v>47</v>
      </c>
    </row>
    <row r="10" customFormat="false" ht="15" hidden="false" customHeight="false" outlineLevel="0" collapsed="false">
      <c r="A10" s="29" t="n">
        <v>1</v>
      </c>
      <c r="B10" s="30" t="s">
        <v>49</v>
      </c>
      <c r="C10" s="30" t="n">
        <v>0</v>
      </c>
      <c r="D10" s="30" t="n">
        <v>983</v>
      </c>
      <c r="E10" s="30" t="n">
        <v>1815</v>
      </c>
      <c r="F10" s="30" t="n">
        <v>1991</v>
      </c>
      <c r="G10" s="30" t="n">
        <v>3036</v>
      </c>
      <c r="H10" s="30" t="n">
        <v>1539</v>
      </c>
      <c r="I10" s="30" t="n">
        <v>2664</v>
      </c>
      <c r="J10" s="31" t="n">
        <v>2612</v>
      </c>
    </row>
    <row r="11" customFormat="false" ht="15" hidden="false" customHeight="false" outlineLevel="0" collapsed="false">
      <c r="A11" s="29" t="n">
        <v>2</v>
      </c>
      <c r="B11" s="30" t="s">
        <v>43</v>
      </c>
      <c r="C11" s="30" t="n">
        <v>983</v>
      </c>
      <c r="D11" s="30" t="n">
        <v>0</v>
      </c>
      <c r="E11" s="30" t="n">
        <v>1205</v>
      </c>
      <c r="F11" s="30" t="n">
        <v>1050</v>
      </c>
      <c r="G11" s="30" t="n">
        <v>2112</v>
      </c>
      <c r="H11" s="30" t="n">
        <v>1390</v>
      </c>
      <c r="I11" s="30" t="n">
        <v>1729</v>
      </c>
      <c r="J11" s="31" t="n">
        <v>2052</v>
      </c>
    </row>
    <row r="12" customFormat="false" ht="15" hidden="false" customHeight="false" outlineLevel="0" collapsed="false">
      <c r="A12" s="29" t="n">
        <v>3</v>
      </c>
      <c r="B12" s="30" t="s">
        <v>42</v>
      </c>
      <c r="C12" s="30" t="n">
        <v>1815</v>
      </c>
      <c r="D12" s="30" t="n">
        <v>1205</v>
      </c>
      <c r="E12" s="30" t="n">
        <v>0</v>
      </c>
      <c r="F12" s="30" t="n">
        <v>801</v>
      </c>
      <c r="G12" s="30" t="n">
        <v>1425</v>
      </c>
      <c r="H12" s="30" t="n">
        <v>1332</v>
      </c>
      <c r="I12" s="30" t="n">
        <v>1027</v>
      </c>
      <c r="J12" s="31" t="n">
        <v>2404</v>
      </c>
    </row>
    <row r="13" customFormat="false" ht="15" hidden="false" customHeight="false" outlineLevel="0" collapsed="false">
      <c r="A13" s="29" t="n">
        <v>4</v>
      </c>
      <c r="B13" s="30" t="s">
        <v>44</v>
      </c>
      <c r="C13" s="30" t="n">
        <v>1991</v>
      </c>
      <c r="D13" s="30" t="n">
        <v>1050</v>
      </c>
      <c r="E13" s="30" t="n">
        <v>801</v>
      </c>
      <c r="F13" s="30" t="n">
        <v>0</v>
      </c>
      <c r="G13" s="30" t="n">
        <v>1174</v>
      </c>
      <c r="H13" s="30" t="n">
        <v>1332</v>
      </c>
      <c r="I13" s="30" t="n">
        <v>836</v>
      </c>
      <c r="J13" s="31" t="n">
        <v>1373</v>
      </c>
    </row>
    <row r="14" customFormat="false" ht="15" hidden="false" customHeight="false" outlineLevel="0" collapsed="false">
      <c r="A14" s="29" t="n">
        <v>5</v>
      </c>
      <c r="B14" s="30" t="s">
        <v>45</v>
      </c>
      <c r="C14" s="30" t="n">
        <v>3036</v>
      </c>
      <c r="D14" s="30" t="n">
        <v>2112</v>
      </c>
      <c r="E14" s="30" t="n">
        <v>1425</v>
      </c>
      <c r="F14" s="30" t="n">
        <v>1174</v>
      </c>
      <c r="G14" s="30" t="n">
        <v>0</v>
      </c>
      <c r="H14" s="30" t="n">
        <v>2757</v>
      </c>
      <c r="I14" s="30" t="n">
        <v>398</v>
      </c>
      <c r="J14" s="31" t="n">
        <v>1909</v>
      </c>
    </row>
    <row r="15" customFormat="false" ht="15" hidden="false" customHeight="false" outlineLevel="0" collapsed="false">
      <c r="A15" s="29" t="n">
        <v>6</v>
      </c>
      <c r="B15" s="30" t="s">
        <v>50</v>
      </c>
      <c r="C15" s="30" t="n">
        <v>1539</v>
      </c>
      <c r="D15" s="30" t="n">
        <v>1390</v>
      </c>
      <c r="E15" s="30" t="n">
        <v>1332</v>
      </c>
      <c r="F15" s="30" t="n">
        <v>1332</v>
      </c>
      <c r="G15" s="30" t="n">
        <v>2757</v>
      </c>
      <c r="H15" s="30" t="n">
        <v>0</v>
      </c>
      <c r="I15" s="30" t="n">
        <v>2359</v>
      </c>
      <c r="J15" s="31" t="n">
        <v>3389</v>
      </c>
    </row>
    <row r="16" customFormat="false" ht="15" hidden="false" customHeight="false" outlineLevel="0" collapsed="false">
      <c r="A16" s="29" t="n">
        <v>7</v>
      </c>
      <c r="B16" s="30" t="s">
        <v>46</v>
      </c>
      <c r="C16" s="30" t="n">
        <v>2664</v>
      </c>
      <c r="D16" s="30" t="n">
        <v>1729</v>
      </c>
      <c r="E16" s="30" t="n">
        <v>1027</v>
      </c>
      <c r="F16" s="30" t="n">
        <v>836</v>
      </c>
      <c r="G16" s="30" t="n">
        <v>398</v>
      </c>
      <c r="H16" s="30" t="n">
        <v>2359</v>
      </c>
      <c r="I16" s="30" t="n">
        <v>0</v>
      </c>
      <c r="J16" s="31" t="n">
        <v>1482</v>
      </c>
    </row>
    <row r="17" customFormat="false" ht="15" hidden="false" customHeight="false" outlineLevel="0" collapsed="false">
      <c r="A17" s="33" t="n">
        <v>8</v>
      </c>
      <c r="B17" s="34" t="s">
        <v>47</v>
      </c>
      <c r="C17" s="34" t="n">
        <v>2612</v>
      </c>
      <c r="D17" s="34" t="n">
        <v>2052</v>
      </c>
      <c r="E17" s="34" t="n">
        <v>2404</v>
      </c>
      <c r="F17" s="34" t="n">
        <v>1373</v>
      </c>
      <c r="G17" s="34" t="n">
        <v>1909</v>
      </c>
      <c r="H17" s="34" t="n">
        <v>3389</v>
      </c>
      <c r="I17" s="34" t="n">
        <v>1482</v>
      </c>
      <c r="J17" s="35" t="n">
        <v>0</v>
      </c>
    </row>
    <row r="19" customFormat="false" ht="15" hidden="false" customHeight="false" outlineLevel="0" collapsed="false">
      <c r="E19" s="0" t="s">
        <v>48</v>
      </c>
    </row>
    <row r="20" customFormat="false" ht="13.8" hidden="false" customHeight="false" outlineLevel="0" collapsed="false">
      <c r="D20" s="44" t="s">
        <v>42</v>
      </c>
      <c r="E20" s="0" t="n">
        <v>3</v>
      </c>
    </row>
    <row r="21" customFormat="false" ht="13.8" hidden="false" customHeight="false" outlineLevel="0" collapsed="false">
      <c r="D21" s="45" t="s">
        <v>43</v>
      </c>
      <c r="E21" s="0" t="n">
        <v>2</v>
      </c>
      <c r="F21" s="50" t="n">
        <f aca="false">INDEX(C10:J17,E20,E21)</f>
        <v>1205</v>
      </c>
    </row>
    <row r="22" customFormat="false" ht="41.75" hidden="false" customHeight="true" outlineLevel="0" collapsed="false">
      <c r="D22" s="45" t="s">
        <v>44</v>
      </c>
      <c r="E22" s="0" t="n">
        <v>4</v>
      </c>
      <c r="F22" s="50" t="n">
        <f aca="false">INDEX(C10:J17,E21,E22)</f>
        <v>1050</v>
      </c>
      <c r="H22" s="1" t="s">
        <v>0</v>
      </c>
      <c r="I22" s="1"/>
      <c r="J22" s="1"/>
    </row>
    <row r="23" customFormat="false" ht="13.8" hidden="false" customHeight="false" outlineLevel="0" collapsed="false">
      <c r="D23" s="45" t="s">
        <v>45</v>
      </c>
      <c r="E23" s="0" t="n">
        <v>5</v>
      </c>
      <c r="F23" s="50" t="n">
        <f aca="false">INDEX(C10:J17,E22,E23)</f>
        <v>1174</v>
      </c>
    </row>
    <row r="24" customFormat="false" ht="13.8" hidden="false" customHeight="false" outlineLevel="0" collapsed="false">
      <c r="D24" s="45" t="s">
        <v>46</v>
      </c>
      <c r="E24" s="0" t="n">
        <v>7</v>
      </c>
      <c r="F24" s="50" t="n">
        <f aca="false">INDEX(C10:J17,E23,E24)</f>
        <v>398</v>
      </c>
    </row>
    <row r="25" customFormat="false" ht="13.8" hidden="false" customHeight="false" outlineLevel="0" collapsed="false">
      <c r="D25" s="45" t="s">
        <v>47</v>
      </c>
      <c r="E25" s="0" t="n">
        <v>8</v>
      </c>
      <c r="F25" s="50" t="n">
        <f aca="false">INDEX(C10:J17,E24,E25)</f>
        <v>1482</v>
      </c>
    </row>
    <row r="26" customFormat="false" ht="13.8" hidden="false" customHeight="false" outlineLevel="0" collapsed="false">
      <c r="D26" s="46" t="s">
        <v>42</v>
      </c>
      <c r="E26" s="0" t="n">
        <v>3</v>
      </c>
      <c r="F26" s="50" t="n">
        <f aca="false">INDEX(C10:J17,E25,E26)</f>
        <v>2404</v>
      </c>
    </row>
    <row r="27" customFormat="false" ht="28.35" hidden="false" customHeight="false" outlineLevel="0" collapsed="false">
      <c r="E27" s="51" t="s">
        <v>51</v>
      </c>
      <c r="F27" s="50" t="n">
        <f aca="false">SUM(F21:F26)</f>
        <v>7713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H22:J2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C3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6" activeCellId="0" sqref="H16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7.64"/>
    <col collapsed="false" customWidth="true" hidden="false" outlineLevel="0" max="4" min="4" style="0" width="21.75"/>
    <col collapsed="false" customWidth="true" hidden="false" outlineLevel="0" max="11" min="11" style="0" width="23.15"/>
  </cols>
  <sheetData>
    <row r="3" customFormat="false" ht="15" hidden="false" customHeight="false" outlineLevel="0" collapsed="false">
      <c r="C3" s="52"/>
      <c r="D3" s="53" t="s">
        <v>52</v>
      </c>
      <c r="E3" s="53" t="s">
        <v>53</v>
      </c>
      <c r="F3" s="53" t="s">
        <v>54</v>
      </c>
      <c r="G3" s="53" t="s">
        <v>55</v>
      </c>
      <c r="H3" s="53" t="s">
        <v>56</v>
      </c>
      <c r="I3" s="54" t="s">
        <v>57</v>
      </c>
    </row>
    <row r="4" customFormat="false" ht="13.8" hidden="false" customHeight="false" outlineLevel="0" collapsed="false">
      <c r="C4" s="8" t="s">
        <v>58</v>
      </c>
      <c r="D4" s="15" t="n">
        <v>243</v>
      </c>
      <c r="E4" s="15" t="n">
        <v>766</v>
      </c>
      <c r="F4" s="15" t="n">
        <v>397</v>
      </c>
      <c r="G4" s="15" t="n">
        <v>14</v>
      </c>
      <c r="H4" s="15" t="n">
        <v>232</v>
      </c>
      <c r="I4" s="10" t="n">
        <v>878</v>
      </c>
    </row>
    <row r="5" customFormat="false" ht="13.8" hidden="false" customHeight="false" outlineLevel="0" collapsed="false">
      <c r="C5" s="8" t="s">
        <v>59</v>
      </c>
      <c r="D5" s="15" t="n">
        <v>889</v>
      </c>
      <c r="E5" s="15" t="n">
        <v>452</v>
      </c>
      <c r="F5" s="15" t="n">
        <v>826</v>
      </c>
      <c r="G5" s="15" t="n">
        <v>530</v>
      </c>
      <c r="H5" s="15" t="n">
        <v>742</v>
      </c>
      <c r="I5" s="10" t="n">
        <v>104</v>
      </c>
    </row>
    <row r="6" customFormat="false" ht="15" hidden="false" customHeight="false" outlineLevel="0" collapsed="false">
      <c r="C6" s="8" t="s">
        <v>60</v>
      </c>
      <c r="D6" s="15" t="n">
        <v>895</v>
      </c>
      <c r="E6" s="15" t="n">
        <v>949</v>
      </c>
      <c r="F6" s="15" t="n">
        <v>214</v>
      </c>
      <c r="G6" s="15" t="n">
        <v>616</v>
      </c>
      <c r="H6" s="15" t="n">
        <v>167</v>
      </c>
      <c r="I6" s="10" t="n">
        <v>286</v>
      </c>
    </row>
    <row r="7" customFormat="false" ht="15" hidden="false" customHeight="false" outlineLevel="0" collapsed="false">
      <c r="C7" s="8" t="s">
        <v>61</v>
      </c>
      <c r="D7" s="15" t="n">
        <v>813</v>
      </c>
      <c r="E7" s="15" t="n">
        <v>909</v>
      </c>
      <c r="F7" s="15" t="n">
        <v>753</v>
      </c>
      <c r="G7" s="15" t="n">
        <v>388</v>
      </c>
      <c r="H7" s="15" t="n">
        <v>361</v>
      </c>
      <c r="I7" s="10" t="n">
        <v>748</v>
      </c>
    </row>
    <row r="8" customFormat="false" ht="15" hidden="false" customHeight="false" outlineLevel="0" collapsed="false">
      <c r="C8" s="8" t="s">
        <v>62</v>
      </c>
      <c r="D8" s="15" t="n">
        <v>864</v>
      </c>
      <c r="E8" s="15" t="n">
        <v>382</v>
      </c>
      <c r="F8" s="15" t="n">
        <v>57</v>
      </c>
      <c r="G8" s="15" t="n">
        <v>402</v>
      </c>
      <c r="H8" s="15" t="n">
        <v>431</v>
      </c>
      <c r="I8" s="10" t="n">
        <v>489</v>
      </c>
    </row>
    <row r="9" customFormat="false" ht="15" hidden="false" customHeight="false" outlineLevel="0" collapsed="false">
      <c r="C9" s="16" t="s">
        <v>63</v>
      </c>
      <c r="D9" s="17" t="n">
        <v>779</v>
      </c>
      <c r="E9" s="17" t="n">
        <v>389</v>
      </c>
      <c r="F9" s="17" t="n">
        <v>895</v>
      </c>
      <c r="G9" s="17" t="n">
        <v>328</v>
      </c>
      <c r="H9" s="17" t="n">
        <v>280</v>
      </c>
      <c r="I9" s="18" t="n">
        <v>905</v>
      </c>
    </row>
    <row r="11" customFormat="false" ht="13.8" hidden="false" customHeight="false" outlineLevel="0" collapsed="false"/>
    <row r="12" customFormat="false" ht="13.8" hidden="false" customHeight="false" outlineLevel="0" collapsed="false"/>
    <row r="13" customFormat="false" ht="41.75" hidden="false" customHeight="true" outlineLevel="0" collapsed="false">
      <c r="D13" s="55" t="s">
        <v>64</v>
      </c>
      <c r="E13" s="56" t="n">
        <f aca="false">INDEX(D4:I9,MATCH(C5,C4:C9,0),MATCH(F3,D3:I3,0))</f>
        <v>826</v>
      </c>
      <c r="H13" s="1" t="s">
        <v>0</v>
      </c>
      <c r="I13" s="1"/>
      <c r="J13" s="1"/>
    </row>
    <row r="14" customFormat="false" ht="13.8" hidden="false" customHeight="false" outlineLevel="0" collapsed="false"/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>
      <c r="D17" s="57" t="s">
        <v>65</v>
      </c>
      <c r="E17" s="50" t="n">
        <f aca="false">INDEX(D4:I9,MATCH(C4,C4:C9,0),MATCH(G3,D3:I3,0))</f>
        <v>14</v>
      </c>
    </row>
    <row r="18" customFormat="false" ht="13.8" hidden="false" customHeight="false" outlineLevel="0" collapsed="false">
      <c r="D18" s="57" t="s">
        <v>65</v>
      </c>
      <c r="E18" s="50" t="n">
        <f aca="false">INDEX(D5:I10,MATCH(C5,C5:C10,0),MATCH(G4,D4:I4,0))</f>
        <v>530</v>
      </c>
    </row>
    <row r="19" customFormat="false" ht="13.8" hidden="false" customHeight="false" outlineLevel="0" collapsed="false">
      <c r="D19" s="57" t="s">
        <v>65</v>
      </c>
      <c r="E19" s="50" t="n">
        <f aca="false">INDEX(D6:I11,MATCH(C6,C6:C11,0),MATCH(G5,D5:I5,0))</f>
        <v>616</v>
      </c>
    </row>
    <row r="20" customFormat="false" ht="13.8" hidden="false" customHeight="false" outlineLevel="0" collapsed="false">
      <c r="D20" s="57" t="s">
        <v>65</v>
      </c>
      <c r="E20" s="50" t="n">
        <f aca="false">INDEX(D7:I12,MATCH(C7,C7:C12,0),MATCH(G6,D6:I6,0))</f>
        <v>388</v>
      </c>
    </row>
    <row r="21" customFormat="false" ht="13.8" hidden="false" customHeight="false" outlineLevel="0" collapsed="false">
      <c r="D21" s="57" t="s">
        <v>65</v>
      </c>
      <c r="E21" s="50" t="n">
        <f aca="false">INDEX(D8:I13,MATCH(C8,C8:C13,0),MATCH(G7,D7:I7,0))</f>
        <v>402</v>
      </c>
    </row>
    <row r="22" customFormat="false" ht="13.8" hidden="false" customHeight="false" outlineLevel="0" collapsed="false">
      <c r="D22" s="57" t="s">
        <v>65</v>
      </c>
      <c r="E22" s="50" t="n">
        <f aca="false">INDEX(D9:I14,MATCH(C9,C9:C14,0),MATCH(G8,D8:I8,0))</f>
        <v>328</v>
      </c>
    </row>
    <row r="23" customFormat="false" ht="41.75" hidden="false" customHeight="false" outlineLevel="0" collapsed="false">
      <c r="D23" s="58" t="s">
        <v>66</v>
      </c>
      <c r="E23" s="59" t="n">
        <f aca="false">SUM(E17:E22)</f>
        <v>2278</v>
      </c>
    </row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mergeCells count="1">
    <mergeCell ref="H13:J1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2023-09-28T10:07:04Z</dcterms:created>
  <dc:creator/>
  <dc:description/>
  <dc:language>en-IN</dc:language>
  <cp:lastModifiedBy/>
  <dcterms:modified xsi:type="dcterms:W3CDTF">2023-11-16T02:37:40Z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</Properties>
</file>